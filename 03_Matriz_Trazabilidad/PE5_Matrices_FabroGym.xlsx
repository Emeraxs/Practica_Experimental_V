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3cfd5ba934f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42dede28b5e4019"/>
    <x:sheet xmlns:r="http://schemas.openxmlformats.org/officeDocument/2006/relationships" name="Requisitos" sheetId="2" r:id="Rc5d056c8b628413b"/>
    <x:sheet xmlns:r="http://schemas.openxmlformats.org/officeDocument/2006/relationships" name="Matriz Trazabilidad" sheetId="3" r:id="R978c7ad17a1a4e1e"/>
    <x:sheet xmlns:r="http://schemas.openxmlformats.org/officeDocument/2006/relationships" name="Metricas" sheetId="4" r:id="R01ab105e19f04732"/>
    <x:sheet xmlns:r="http://schemas.openxmlformats.org/officeDocument/2006/relationships" name="Backlog propuesto" sheetId="5" r:id="R36144b6e65524a0e"/>
    <x:sheet xmlns:r="http://schemas.openxmlformats.org/officeDocument/2006/relationships" name="Hallazgos" sheetId="6" r:id="Ra93daf6503ce474e"/>
    <x:sheet xmlns:r="http://schemas.openxmlformats.org/officeDocument/2006/relationships" name="Conflictos" sheetId="7" r:id="R5c5fdcfcab344c91"/>
    <x:sheet xmlns:r="http://schemas.openxmlformats.org/officeDocument/2006/relationships" name="Modificabilidad" sheetId="8" r:id="R15ce2bba07f64f9b"/>
    <x:sheet xmlns:r="http://schemas.openxmlformats.org/officeDocument/2006/relationships" name="Retrospectiva" sheetId="9" r:id="R5b1136d020624edc"/>
    <x:sheet xmlns:r="http://schemas.openxmlformats.org/officeDocument/2006/relationships" name="Aportes" sheetId="10" r:id="R0de7f65a24dd48d6"/>
    <x:sheet xmlns:r="http://schemas.openxmlformats.org/officeDocument/2006/relationships" name="Control Trazas" sheetId="11" r:id="R6801ec7af68c4ee8"/>
    <x:sheet xmlns:r="http://schemas.openxmlformats.org/officeDocument/2006/relationships" name="Reinspeccion M6" sheetId="12" r:id="R46e0787713984a26"/>
    <x:sheet xmlns:r="http://schemas.openxmlformats.org/officeDocument/2006/relationships" name="Cobertura Modelos" sheetId="13" r:id="R495429ea7b93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1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5"/>
      <x:color rgb="FFFFFFFF"/>
      <x:name val="Aptos"/>
    </x:font>
    <x:font>
      <x:i/>
      <x:sz val="11"/>
      <x:color rgb="FF334155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7F6000"/>
      <x:name val="Aptos"/>
    </x:font>
    <x:font>
      <x:b/>
      <x:sz val="10"/>
      <x:color rgb="FFFFFFFF"/>
      <x:name val="Aptos"/>
    </x:font>
    <x:font>
      <x:i/>
      <x:sz val="10"/>
      <x:color rgb="FF334155"/>
      <x:name val="Aptos"/>
    </x:font>
    <x:font>
      <x:sz val="10"/>
      <x:name val="Aptos"/>
    </x:font>
    <x:font>
      <x:sz val="10"/>
      <x:color rgb="FF7F6000"/>
      <x:name val="Aptos"/>
    </x:font>
    <x:font>
      <x:b/>
      <x:sz val="14"/>
      <x:color rgb="FF14532D"/>
      <x:name val="Aptos"/>
    </x:font>
    <x:font>
      <x:b/>
      <x:sz val="14"/>
      <x:color rgb="FF14532D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7A8C"/>
      </x:patternFill>
    </x:fill>
    <x:fill>
      <x:patternFill patternType="solid">
        <x:fgColor rgb="FFFFF2CC"/>
      </x:patternFill>
    </x:fill>
    <x:fill>
      <x:patternFill patternType="solid">
        <x:fgColor rgb="FF166534"/>
      </x:patternFill>
    </x:fill>
    <x:fill>
      <x:patternFill patternType="solid">
        <x:fgColor rgb="FFE2F0D9"/>
      </x:patternFill>
    </x:fill>
    <x:fill>
      <x:patternFill patternType="solid">
        <x:fgColor rgb="FF0F4C5C"/>
      </x:patternFill>
    </x:fill>
    <x:fill>
      <x:patternFill patternType="solid">
        <x:fgColor rgb="FF1F6E8C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BF9000"/>
      </x:left>
      <x:top style="medium">
        <x:color rgb="FFBF9000"/>
      </x:top>
    </x:border>
    <x:border>
      <x:top style="medium">
        <x:color rgb="FFBF9000"/>
      </x:top>
    </x:border>
    <x:border>
      <x:right style="medium">
        <x:color rgb="FFBF9000"/>
      </x:right>
      <x:top style="medium">
        <x:color rgb="FFBF9000"/>
      </x:top>
    </x:border>
    <x:border>
      <x:left style="medium">
        <x:color rgb="FFBF9000"/>
      </x:left>
    </x:border>
    <x:border>
      <x:right style="medium">
        <x:color rgb="FFBF9000"/>
      </x:right>
    </x:border>
    <x:border>
      <x:left style="medium">
        <x:color rgb="FFBF9000"/>
      </x:left>
      <x:bottom style="medium">
        <x:color rgb="FFBF9000"/>
      </x:bottom>
    </x:border>
    <x:border>
      <x:bottom style="medium">
        <x:color rgb="FFBF9000"/>
      </x:bottom>
    </x:border>
    <x:border>
      <x:right style="medium">
        <x:color rgb="FFBF9000"/>
      </x:right>
      <x:bottom style="medium">
        <x:color rgb="FFBF9000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3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0" fillId="4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vertical="top" wrapText="1"/>
    </x:xf>
    <x:xf numFmtId="200" fontId="12" fillId="0" borderId="1" xfId="0" applyNumberFormat="1" applyFont="1" applyFill="1" applyBorder="1" applyAlignment="1">
      <x:alignment vertical="top" wrapText="1"/>
    </x:xf>
    <x:xf numFmtId="201" fontId="12" fillId="0" borderId="1" xfId="0" applyNumberFormat="1" applyFont="1" applyFill="1" applyBorder="1" applyAlignment="1">
      <x:alignment vertical="top" wrapText="1"/>
    </x:xf>
    <x:xf numFmtId="0" fontId="13" fillId="5" borderId="2" xfId="0" applyNumberFormat="1" applyFont="1" applyFill="1" applyBorder="1" applyAlignment="1">
      <x:alignment vertical="center" wrapText="1"/>
    </x:xf>
    <x:xf numFmtId="0" fontId="13" fillId="5" borderId="3" xfId="0" applyNumberFormat="1" applyFont="1" applyFill="1" applyBorder="1" applyAlignment="1">
      <x:alignment vertical="center" wrapText="1"/>
    </x:xf>
    <x:xf numFmtId="0" fontId="13" fillId="5" borderId="4" xfId="0" applyNumberFormat="1" applyFont="1" applyFill="1" applyBorder="1" applyAlignment="1">
      <x:alignment vertical="center" wrapText="1"/>
    </x:xf>
    <x:xf numFmtId="0" fontId="13" fillId="5" borderId="5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6" xfId="0" applyNumberFormat="1" applyFont="1" applyFill="1" applyBorder="1" applyAlignment="1">
      <x:alignment vertical="center" wrapText="1"/>
    </x:xf>
    <x:xf numFmtId="0" fontId="13" fillId="5" borderId="7" xfId="0" applyNumberFormat="1" applyFont="1" applyFill="1" applyBorder="1" applyAlignment="1">
      <x:alignment vertical="center" wrapText="1"/>
    </x:xf>
    <x:xf numFmtId="0" fontId="13" fillId="5" borderId="8" xfId="0" applyNumberFormat="1" applyFont="1" applyFill="1" applyBorder="1" applyAlignment="1">
      <x:alignment vertical="center" wrapText="1"/>
    </x:xf>
    <x:xf numFmtId="0" fontId="13" fillId="5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wrapText="1"/>
    </x:xf>
    <x:xf numFmtId="0" fontId="1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6" fillId="8" borderId="0" xfId="0" applyNumberFormat="1" applyFont="1" applyFill="1" applyBorder="1"/>
    <x:xf numFmtId="0" fontId="16" fillId="8" borderId="0" xfId="0" applyNumberFormat="1" applyFont="1" applyFill="1" applyBorder="1" applyAlignment="1">
      <x:alignment horizontal="center"/>
    </x:xf>
    <x:xf numFmtId="0" fontId="1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16" fillId="8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2F0D9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e2adf42324e05" /><Relationship Type="http://schemas.openxmlformats.org/officeDocument/2006/relationships/theme" Target="/xl/theme/theme1.xml" Id="Rcce83677a9d84031" /><Relationship Type="http://schemas.openxmlformats.org/officeDocument/2006/relationships/sharedStrings" Target="/xl/sharedStrings.xml" Id="Rb79cefd049774acf" /><Relationship Type="http://schemas.openxmlformats.org/officeDocument/2006/relationships/worksheet" Target="/xl/worksheets/sheet1.xml" Id="R042dede28b5e4019" /><Relationship Type="http://schemas.openxmlformats.org/officeDocument/2006/relationships/worksheet" Target="/xl/worksheets/sheet2.xml" Id="Rc5d056c8b628413b" /><Relationship Type="http://schemas.openxmlformats.org/officeDocument/2006/relationships/worksheet" Target="/xl/worksheets/sheet3.xml" Id="R978c7ad17a1a4e1e" /><Relationship Type="http://schemas.openxmlformats.org/officeDocument/2006/relationships/worksheet" Target="/xl/worksheets/sheet4.xml" Id="R01ab105e19f04732" /><Relationship Type="http://schemas.openxmlformats.org/officeDocument/2006/relationships/worksheet" Target="/xl/worksheets/sheet5.xml" Id="R36144b6e65524a0e" /><Relationship Type="http://schemas.openxmlformats.org/officeDocument/2006/relationships/worksheet" Target="/xl/worksheets/sheet6.xml" Id="Ra93daf6503ce474e" /><Relationship Type="http://schemas.openxmlformats.org/officeDocument/2006/relationships/worksheet" Target="/xl/worksheets/sheet7.xml" Id="R5c5fdcfcab344c91" /><Relationship Type="http://schemas.openxmlformats.org/officeDocument/2006/relationships/worksheet" Target="/xl/worksheets/sheet8.xml" Id="R15ce2bba07f64f9b" /><Relationship Type="http://schemas.openxmlformats.org/officeDocument/2006/relationships/worksheet" Target="/xl/worksheets/sheet9.xml" Id="R5b1136d020624edc" /><Relationship Type="http://schemas.openxmlformats.org/officeDocument/2006/relationships/worksheet" Target="/xl/worksheets/sheet10.xml" Id="R0de7f65a24dd48d6" /><Relationship Type="http://schemas.openxmlformats.org/officeDocument/2006/relationships/worksheet" Target="/xl/worksheets/sheet11.xml" Id="R6801ec7af68c4ee8" /><Relationship Type="http://schemas.openxmlformats.org/officeDocument/2006/relationships/worksheet" Target="/xl/worksheets/sheet12.xml" Id="R46e0787713984a26" /><Relationship Type="http://schemas.openxmlformats.org/officeDocument/2006/relationships/worksheet" Target="/xl/worksheets/sheet13.xml" Id="R495429ea7b934c77" /></Relationships>
</file>

<file path=xl/tables/table1.xml><?xml version="1.0" encoding="utf-8"?>
<x:table xmlns:x="http://schemas.openxmlformats.org/spreadsheetml/2006/main" id="1" name="RequisitosTable" displayName="RequisitosTable" ref="A3:J70" headerRowCount="1" totalsRowCount="0" totalsRowShown="0">
  <x:tableColumns count="10">
    <x:tableColumn id="1" name="ID"/>
    <x:tableColumn id="2" name="Tipo"/>
    <x:tableColumn id="3" name="Nombre"/>
    <x:tableColumn id="4" name="Actor"/>
    <x:tableColumn id="5" name="Enunciado verificable"/>
    <x:tableColumn id="6" name="Prioridad"/>
    <x:tableColumn id="7" name="Fuente"/>
    <x:tableColumn id="8" name="Componente"/>
    <x:tableColumn id="9" name="Estado"/>
    <x:tableColumn id="10" name="Mock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zabilidadTable" displayName="TrazabilidadTable" ref="A3:N70" headerRowCount="1" totalsRowCount="0" totalsRowShown="0">
  <x:tableColumns count="14">
    <x:tableColumn id="1" name="RF/RNF"/>
    <x:tableColumn id="2" name="Fuente"/>
    <x:tableColumn id="3" name="Actor"/>
    <x:tableColumn id="4" name="CU"/>
    <x:tableColumn id="5" name="Clase UML"/>
    <x:tableColumn id="6" name="Proceso DFD"/>
    <x:tableColumn id="7" name="Estado/transición"/>
    <x:tableColumn id="8" name="Criterio BDD"/>
    <x:tableColumn id="9" name="CP"/>
    <x:tableColumn id="10" name="Historia"/>
    <x:tableColumn id="11" name="Componente"/>
    <x:tableColumn id="12" name="Mockup"/>
    <x:tableColumn id="13" name="Estado requisito"/>
    <x:tableColumn id="14" name="Estado traz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BacklogTable" displayName="BacklogTable" ref="A3:H43" headerRowCount="1" totalsRowCount="0" totalsRowShown="0">
  <x:tableColumns count="8">
    <x:tableColumn id="1" name="Clave"/>
    <x:tableColumn id="2" name="Épica"/>
    <x:tableColumn id="3" name="RF"/>
    <x:tableColumn id="4" name="Historia de usuario"/>
    <x:tableColumn id="5" name="Criterio de aceptación"/>
    <x:tableColumn id="6" name="Prioridad"/>
    <x:tableColumn id="7" name="Estado"/>
    <x:tableColumn id="8" name="Fuent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8a147565ce45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c237ef77624c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1d4fba3342845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4" hidden="0" customWidth="1"/>
    <x:col min="5" max="5" width="21" hidden="0" customWidth="1"/>
    <x:col min="6" max="6" width="21" hidden="0" customWidth="1"/>
    <x:col min="7" max="7" width="21" hidden="0" customWidth="1"/>
    <x:col min="8" max="8" width="18" hidden="0" customWidth="1"/>
  </x:cols>
  <x:sheetData>
    <x:row r="1" ht="16.799999237060547" hidden="0" customHeight="1">
      <x:c r="A1" s="90" t="str">
        <x:v>PE5 FabroGym - tablero de control final v2.0.3</x:v>
      </x:c>
      <x:c r="B1" s="90"/>
      <x:c r="C1" s="90"/>
      <x:c r="D1" s="90"/>
      <x:c r="E1" s="90"/>
      <x:c r="F1" s="90"/>
      <x:c r="G1" s="90"/>
      <x:c r="H1" s="90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 ht="15" hidden="0" customHeight="1">
      <x:c r="A2" s="64" t="str">
        <x:v>PFC FabroGym - Equipo F: Alvia, Mera, Mora, Ponce y Vaca. Repositorio PE5: https://github.com/Emeraxs/Practica_Experimental_v</x:v>
      </x:c>
      <x:c r="B2" s="64"/>
      <x:c r="C2" s="64"/>
      <x:c r="D2" s="64"/>
      <x:c r="E2" s="64"/>
      <x:c r="F2" s="64"/>
      <x:c r="G2" s="64"/>
      <x:c r="H2" s="64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 ht="15" hidden="0" customHeight="1">
      <x:c r="A3" s="82"/>
      <x:c r="B3" s="82"/>
      <x:c r="C3" s="82"/>
      <x:c r="D3" s="82"/>
      <x:c r="E3" s="82"/>
      <x:c r="F3" s="82"/>
      <x:c r="G3" s="82"/>
      <x:c r="H3" s="82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 ht="15" hidden="0" customHeight="1">
      <x:c r="A4" s="66" t="str">
        <x:v>Indicador</x:v>
      </x:c>
      <x:c r="B4" s="66" t="str">
        <x:v>Valor</x:v>
      </x:c>
      <x:c r="C4" s="82"/>
      <x:c r="D4" s="66" t="str">
        <x:v>Métrica</x:v>
      </x:c>
      <x:c r="E4" s="66" t="str">
        <x:v>Antes</x:v>
      </x:c>
      <x:c r="F4" s="66" t="str">
        <x:v>Después</x:v>
      </x:c>
      <x:c r="G4" s="66" t="str">
        <x:v>Referencia</x:v>
      </x:c>
      <x:c r="H4" s="66" t="str">
        <x:v>Resultado final</x:v>
      </x:c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 ht="15" hidden="0" customHeight="1">
      <x:c r="A5" s="67" t="str">
        <x:v>Requisitos funcionales</x:v>
      </x:c>
      <x:c r="B5" s="67" t="n">
        <x:v>40</x:v>
      </x:c>
      <x:c r="C5" s="82"/>
      <x:c r="D5" s="67" t="str">
        <x:v>M1a Atributos</x:v>
      </x:c>
      <x:c r="E5" s="68" t="n">
        <x:v>0.85</x:v>
      </x:c>
      <x:c r="F5" s="68" t="n">
        <x:v>1</x:v>
      </x:c>
      <x:c r="G5" s="68" t="n">
        <x:v>0.95</x:v>
      </x:c>
      <x:c r="H5" s="67" t="str">
        <x:v>Cumple</x:v>
      </x:c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 ht="15" hidden="0" customHeight="1">
      <x:c r="A6" s="67" t="str">
        <x:v>Requisitos no funcionales</x:v>
      </x:c>
      <x:c r="B6" s="67" t="n">
        <x:v>27</x:v>
      </x:c>
      <x:c r="C6" s="82"/>
      <x:c r="D6" s="67" t="str">
        <x:v>M1b CU</x:v>
      </x:c>
      <x:c r="E6" s="68" t="n">
        <x:v>1</x:v>
      </x:c>
      <x:c r="F6" s="68" t="n">
        <x:v>1</x:v>
      </x:c>
      <x:c r="G6" s="68" t="n">
        <x:v>1</x:v>
      </x:c>
      <x:c r="H6" s="67" t="str">
        <x:v>Cumple</x:v>
      </x:c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 ht="15" hidden="0" customHeight="1">
      <x:c r="A7" s="67" t="str">
        <x:v>Total requisitos</x:v>
      </x:c>
      <x:c r="B7" s="67" t="n">
        <x:v>67</x:v>
      </x:c>
      <x:c r="C7" s="82"/>
      <x:c r="D7" s="67" t="str">
        <x:v>M1c Actores</x:v>
      </x:c>
      <x:c r="E7" s="68" t="n">
        <x:v>0.75</x:v>
      </x:c>
      <x:c r="F7" s="68" t="n">
        <x:v>1</x:v>
      </x:c>
      <x:c r="G7" s="68" t="n">
        <x:v>1</x:v>
      </x:c>
      <x:c r="H7" s="67" t="str">
        <x:v>Cumple</x:v>
      </x:c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 ht="15" hidden="0" customHeight="1">
      <x:c r="A8" s="67" t="str">
        <x:v>Casos de uso especificados</x:v>
      </x:c>
      <x:c r="B8" s="67" t="n">
        <x:v>40</x:v>
      </x:c>
      <x:c r="C8" s="82"/>
      <x:c r="D8" s="67" t="str">
        <x:v>M2 Consistencia</x:v>
      </x:c>
      <x:c r="E8" s="68" t="n">
        <x:v>0.9428571428571428</x:v>
      </x:c>
      <x:c r="F8" s="68" t="n">
        <x:v>1</x:v>
      </x:c>
      <x:c r="G8" s="68" t="n">
        <x:v>0.98</x:v>
      </x:c>
      <x:c r="H8" s="67" t="str">
        <x:v>Cumple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 ht="15" hidden="0" customHeight="1">
      <x:c r="A9" s="67" t="str">
        <x:v>Huérfanos / cadenas rotas</x:v>
      </x:c>
      <x:c r="B9" s="67" t="str">
        <x:v>0 / 0</x:v>
      </x:c>
      <x:c r="C9" s="82"/>
      <x:c r="D9" s="67" t="str">
        <x:v>M3 Verificabilidad</x:v>
      </x:c>
      <x:c r="E9" s="67" t="n">
        <x:v>0.85</x:v>
      </x:c>
      <x:c r="F9" s="67" t="n">
        <x:v>1</x:v>
      </x:c>
      <x:c r="G9" s="67" t="n">
        <x:v>0.9</x:v>
      </x:c>
      <x:c r="H9" s="67" t="str">
        <x:v>Cumple</x:v>
      </x:c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 ht="15" hidden="0" customHeight="1">
      <x:c r="A10" s="67" t="str">
        <x:v>Sincronización backlog ↔ ERS</x:v>
      </x:c>
      <x:c r="B10" s="67" t="str">
        <x:v>40/40</x:v>
      </x:c>
      <x:c r="C10" s="82"/>
      <x:c r="D10" s="67" t="str">
        <x:v>M4 adelante</x:v>
      </x:c>
      <x:c r="E10" s="69" t="n">
        <x:v>0.76</x:v>
      </x:c>
      <x:c r="F10" s="69" t="n">
        <x:v>1</x:v>
      </x:c>
      <x:c r="G10" s="69" t="n">
        <x:v>0.9</x:v>
      </x:c>
      <x:c r="H10" s="67" t="str">
        <x:v>Cumple</x:v>
      </x:c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 ht="15" hidden="0" customHeight="1">
      <x:c r="A11" s="82" t="str">
        <x:v>Componentes IA</x:v>
      </x:c>
      <x:c r="B11" s="82" t="n">
        <x:v>2</x:v>
      </x:c>
      <x:c r="C11" s="82"/>
      <x:c r="D11" s="82" t="str">
        <x:v>M4 atrás</x:v>
      </x:c>
      <x:c r="E11" s="82" t="n">
        <x:v>1</x:v>
      </x:c>
      <x:c r="F11" s="82" t="n">
        <x:v>1</x:v>
      </x:c>
      <x:c r="G11" s="82" t="n">
        <x:v>1</x:v>
      </x:c>
      <x:c r="H11" s="82" t="str">
        <x:v>Cumple</x:v>
      </x:c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70" t="str">
        <x:v>Hallazgos técnicos</x:v>
      </x:c>
      <x:c r="B12" s="71" t="n">
        <x:v>18</x:v>
      </x:c>
      <x:c r="C12" s="71"/>
      <x:c r="D12" s="71" t="str">
        <x:v>M5 Modificabilidad</x:v>
      </x:c>
      <x:c r="E12" s="71" t="n">
        <x:v>4.2</x:v>
      </x:c>
      <x:c r="F12" s="71" t="n">
        <x:v>2.4</x:v>
      </x:c>
      <x:c r="G12" s="71" t="n">
        <x:v>3</x:v>
      </x:c>
      <x:c r="H12" s="72" t="str">
        <x:v>Cumple</x:v>
      </x:c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73" t="str">
        <x:v>Discrepancias cerradas</x:v>
      </x:c>
      <x:c r="B13" s="74" t="str">
        <x:v>8/8</x:v>
      </x:c>
      <x:c r="C13" s="74"/>
      <x:c r="D13" s="74" t="str">
        <x:v>M6 Corrección</x:v>
      </x:c>
      <x:c r="E13" s="74" t="n">
        <x:v>0.31343283582089554</x:v>
      </x:c>
      <x:c r="F13" s="74" t="n">
        <x:v>0</x:v>
      </x:c>
      <x:c r="G13" s="74" t="n">
        <x:v>0.05</x:v>
      </x:c>
      <x:c r="H13" s="75" t="str">
        <x:v>Cumple</x:v>
      </x:c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76"/>
      <x:c r="B14" s="77"/>
      <x:c r="C14" s="77"/>
      <x:c r="D14" s="77"/>
      <x:c r="E14" s="77"/>
      <x:c r="F14" s="77"/>
      <x:c r="G14" s="77"/>
      <x:c r="H14" s="78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 ht="79.19999694824219" hidden="0" customHeight="1">
      <x:c r="A15" s="81" t="str">
        <x:v>Nota de alcance: V7 es un prototipo HTML/JS sin backend; IA, respaldo/restauración y walkthroughs no técnicos no se declaran ejecutados. Estas limitaciones no se contabilizan como defectos residuales del ERS.</x:v>
      </x:c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mergeCells>
    <x:mergeCell ref="A1:H1"/>
    <x:mergeCell ref="A2:H2"/>
    <x:mergeCell ref="A12:H14"/>
  </x:mergeCells>
  <x:conditionalFormatting sqref="H5:H10">
    <x:cfRule type="containsText" dxfId="0" priority="1" operator="containsText" text="Cump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32" hidden="0" customWidth="1"/>
    <x:col min="4" max="4" width="22" hidden="0" customWidth="1"/>
    <x:col min="5" max="5" width="4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92" t="str">
        <x:v>Catálogo consolidado de requisitos v2.0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7" t="str">
        <x:v>67 requisitos con atributos mínimos, fuentes y estado verificable.</x:v>
      </x:c>
      <x:c r="B2" s="7"/>
      <x:c r="C2" s="7"/>
      <x:c r="D2" s="7"/>
      <x:c r="E2" s="7"/>
      <x:c r="F2" s="7"/>
      <x:c r="G2" s="7"/>
      <x:c r="H2" s="7"/>
      <x:c r="I2" s="7"/>
      <x:c r="J2" s="7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 ht="30" customHeight="1">
      <x:c r="A3" s="84" t="str">
        <x:v>ID</x:v>
      </x:c>
      <x:c r="B3" s="84" t="str">
        <x:v>Tipo</x:v>
      </x:c>
      <x:c r="C3" s="84" t="str">
        <x:v>Nombre</x:v>
      </x:c>
      <x:c r="D3" s="84" t="str">
        <x:v>Actor</x:v>
      </x:c>
      <x:c r="E3" s="84" t="str">
        <x:v>Enunciado verificable</x:v>
      </x:c>
      <x:c r="F3" s="84" t="str">
        <x:v>Prioridad</x:v>
      </x:c>
      <x:c r="G3" s="84" t="str">
        <x:v>Fuente</x:v>
      </x:c>
      <x:c r="H3" s="84" t="str">
        <x:v>Componente</x:v>
      </x:c>
      <x:c r="I3" s="84" t="str">
        <x:v>Estado</x:v>
      </x:c>
      <x:c r="J3" s="84" t="str">
        <x:v>Mockup</x:v>
      </x:c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16" t="str">
        <x:v>RF-AUT-01</x:v>
      </x:c>
      <x:c r="B4" s="16" t="str">
        <x:v>RF</x:v>
      </x:c>
      <x:c r="C4" s="16" t="str">
        <x:v>Autenticar usuario</x:v>
      </x:c>
      <x:c r="D4" s="16" t="str">
        <x:v>Personal autorizado</x:v>
      </x:c>
      <x:c r="E4" s="16" t="str">
        <x:v>El sistema deberá permitir iniciar y cerrar sesión mediante credenciales individuales no biométricas.</x:v>
      </x:c>
      <x:c r="F4" s="16" t="str">
        <x:v>Must</x:v>
      </x:c>
      <x:c r="G4" s="16" t="str">
        <x:v>EV-ENTR02-07</x:v>
      </x:c>
      <x:c r="H4" s="16" t="str">
        <x:v>Acceso y seguridad</x:v>
      </x:c>
      <x:c r="I4" s="16" t="str">
        <x:v>Aprobado en baseline v2.0</x:v>
      </x:c>
      <x:c r="J4" s="16" t="str">
        <x:v>MU-01</x:v>
      </x:c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16" t="str">
        <x:v>RF-AUT-02</x:v>
      </x:c>
      <x:c r="B5" s="16" t="str">
        <x:v>RF</x:v>
      </x:c>
      <x:c r="C5" s="16" t="str">
        <x:v>Aplicar permisos por rol</x:v>
      </x:c>
      <x:c r="D5" s="16" t="str">
        <x:v>Administrador</x:v>
      </x:c>
      <x:c r="E5" s="16" t="str">
        <x:v>El sistema deberá autorizar cada operación según los roles Superadministrador, Dueño, Recepcionista, Instructor y Cliente, y deberá denegar por defecto toda operación no asignada.</x:v>
      </x:c>
      <x:c r="F5" s="16" t="str">
        <x:v>Must</x:v>
      </x:c>
      <x:c r="G5" s="16" t="str">
        <x:v>EV-ENTR02-07;EV-ENTR03-06;EV-ENTR08-04</x:v>
      </x:c>
      <x:c r="H5" s="16" t="str">
        <x:v>Acceso y seguridad</x:v>
      </x:c>
      <x:c r="I5" s="16" t="str">
        <x:v>Aprobado en baseline v2.0</x:v>
      </x:c>
      <x:c r="J5" s="16" t="str">
        <x:v>MU-22;MU-32</x:v>
      </x:c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16" t="str">
        <x:v>RF-AUT-03</x:v>
      </x:c>
      <x:c r="B6" s="16" t="str">
        <x:v>RF</x:v>
      </x:c>
      <x:c r="C6" s="16" t="str">
        <x:v>Auditar cambios criticos</x:v>
      </x:c>
      <x:c r="D6" s="16" t="str">
        <x:v>Administrador</x:v>
      </x:c>
      <x:c r="E6" s="16" t="str">
        <x:v>El sistema deberá registrar eventos de auditoría para cambios críticos en pagos, ventas, inventario, membresías, precios y permisos, incluyendo actor, fecha, acción, valor anterior y valor nuevo.</x:v>
      </x:c>
      <x:c r="F6" s="16" t="str">
        <x:v>Should</x:v>
      </x:c>
      <x:c r="G6" s="16" t="str">
        <x:v>EV-ENTR02-04;EV-ENTR02-07;EV-ENTR03-06</x:v>
      </x:c>
      <x:c r="H6" s="16" t="str">
        <x:v>Acceso y seguridad</x:v>
      </x:c>
      <x:c r="I6" s="16" t="str">
        <x:v>Aprobado en baseline v2.0</x:v>
      </x:c>
      <x:c r="J6" s="16" t="str">
        <x:v>MU-25</x:v>
      </x:c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16" t="str">
        <x:v>RF-CLI-01</x:v>
      </x:c>
      <x:c r="B7" s="16" t="str">
        <x:v>RF</x:v>
      </x:c>
      <x:c r="C7" s="16" t="str">
        <x:v>Registrar cliente minimo</x:v>
      </x:c>
      <x:c r="D7" s="16" t="str">
        <x:v>Recepcionista</x:v>
      </x:c>
      <x:c r="E7" s="16" t="str">
        <x:v>El sistema deberá registrar un cliente con código interno, nombre de uso y un medio de contacto, sin recopilar datos de salud, biometría, dirección domiciliaria ni imagen corporal.</x:v>
      </x:c>
      <x:c r="F7" s="16" t="str">
        <x:v>Must</x:v>
      </x:c>
      <x:c r="G7" s="16" t="str">
        <x:v>EV-ENTR01-02;EV-ENTR02-02;EV-ENTR03-02;EV-ENTR08-01</x:v>
      </x:c>
      <x:c r="H7" s="16" t="str">
        <x:v>Clientes</x:v>
      </x:c>
      <x:c r="I7" s="16" t="str">
        <x:v>Aprobado en baseline v2.0</x:v>
      </x:c>
      <x:c r="J7" s="16" t="str">
        <x:v>MU-12*;MU-37*</x:v>
      </x:c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16" t="str">
        <x:v>RF-CLI-02</x:v>
      </x:c>
      <x:c r="B8" s="16" t="str">
        <x:v>RF</x:v>
      </x:c>
      <x:c r="C8" s="16" t="str">
        <x:v>Buscar y consultar cliente</x:v>
      </x:c>
      <x:c r="D8" s="16" t="str">
        <x:v>Recepcionista</x:v>
      </x:c>
      <x:c r="E8" s="16" t="str">
        <x:v>El sistema deberá buscar clientes por código, nombre normalizado o contacto y deberá mostrar membresía, último pago, asistencia y novedades de acuerdo con los permisos del usuario.</x:v>
      </x:c>
      <x:c r="F8" s="16" t="str">
        <x:v>Must</x:v>
      </x:c>
      <x:c r="G8" s="16" t="str">
        <x:v>EV-ENTR02-03;EV-ENTR02-08;EV-ENTR08-05</x:v>
      </x:c>
      <x:c r="H8" s="16" t="str">
        <x:v>Clientes</x:v>
      </x:c>
      <x:c r="I8" s="16" t="str">
        <x:v>Aprobado en baseline v2.0</x:v>
      </x:c>
      <x:c r="J8" s="16" t="str">
        <x:v>MU-11;MU-36</x:v>
      </x:c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16" t="str">
        <x:v>RF-CLI-03</x:v>
      </x:c>
      <x:c r="B9" s="16" t="str">
        <x:v>RF</x:v>
      </x:c>
      <x:c r="C9" s="16" t="str">
        <x:v>Actualizar o reactivar sin duplicar</x:v>
      </x:c>
      <x:c r="D9" s="16" t="str">
        <x:v>Recepcionista</x:v>
      </x:c>
      <x:c r="E9" s="16" t="str">
        <x:v>El sistema deberá actualizar o reactivar un registro existente y deberá advertir coincidencias antes de crear un cliente nuevo.</x:v>
      </x:c>
      <x:c r="F9" s="16" t="str">
        <x:v>Must</x:v>
      </x:c>
      <x:c r="G9" s="16" t="str">
        <x:v>EV-ENTR02-02;EV-ENTR03-02;EV-ENTR04-01;EV-ENTR05-02</x:v>
      </x:c>
      <x:c r="H9" s="16" t="str">
        <x:v>Clientes</x:v>
      </x:c>
      <x:c r="I9" s="16" t="str">
        <x:v>Aprobado en baseline v2.0</x:v>
      </x:c>
      <x:c r="J9" s="16" t="str">
        <x:v>MU-11;MU-36</x:v>
      </x:c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16" t="str">
        <x:v>RF-MEM-01</x:v>
      </x:c>
      <x:c r="B10" s="16" t="str">
        <x:v>RF</x:v>
      </x:c>
      <x:c r="C10" s="16" t="str">
        <x:v>Configurar planes y promociones</x:v>
      </x:c>
      <x:c r="D10" s="16" t="str">
        <x:v>Administrador</x:v>
      </x:c>
      <x:c r="E10" s="16" t="str">
        <x:v>El sistema deberá administrar el nombre, duración, precio, vigencia y estado de los planes y promociones.</x:v>
      </x:c>
      <x:c r="F10" s="16" t="str">
        <x:v>Must</x:v>
      </x:c>
      <x:c r="G10" s="16" t="str">
        <x:v>EV-ENTR02-01;EV-ENTR04-01</x:v>
      </x:c>
      <x:c r="H10" s="16" t="str">
        <x:v>Membresías</x:v>
      </x:c>
      <x:c r="I10" s="16" t="str">
        <x:v>Aprobado en baseline v2.0</x:v>
      </x:c>
      <x:c r="J10" s="16" t="str">
        <x:v>MU-68</x:v>
      </x:c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16" t="str">
        <x:v>RF-MEM-02</x:v>
      </x:c>
      <x:c r="B11" s="16" t="str">
        <x:v>RF</x:v>
      </x:c>
      <x:c r="C11" s="16" t="str">
        <x:v>Activar o renovar membresia</x:v>
      </x:c>
      <x:c r="D11" s="16" t="str">
        <x:v>Recepcionista</x:v>
      </x:c>
      <x:c r="E11" s="16" t="str">
        <x:v>El sistema deberá activar o renovar una membresía calculando las fechas de inicio y vencimiento a partir de un plan vigente y un pago confirmado.</x:v>
      </x:c>
      <x:c r="F11" s="16" t="str">
        <x:v>Must</x:v>
      </x:c>
      <x:c r="G11" s="16" t="str">
        <x:v>EV-ENTR01-02;EV-ENTR02-04;EV-ENTR03-01;EV-ENTR04-03</x:v>
      </x:c>
      <x:c r="H11" s="16" t="str">
        <x:v>Membresías</x:v>
      </x:c>
      <x:c r="I11" s="16" t="str">
        <x:v>Aprobado en baseline v2.0</x:v>
      </x:c>
      <x:c r="J11" s="16" t="str">
        <x:v>MU-14;MU-39</x:v>
      </x:c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16" t="str">
        <x:v>RF-MEM-03</x:v>
      </x:c>
      <x:c r="B12" s="16" t="str">
        <x:v>RF</x:v>
      </x:c>
      <x:c r="C12" s="16" t="str">
        <x:v>Consultar vigencia</x:v>
      </x:c>
      <x:c r="D12" s="16" t="str">
        <x:v>Personal autorizado</x:v>
      </x:c>
      <x:c r="E12" s="16" t="str">
        <x:v>El sistema deberá mostrar el estado, plan, fecha de inicio y fecha de vencimiento de la membresía.</x:v>
      </x:c>
      <x:c r="F12" s="16" t="str">
        <x:v>Must</x:v>
      </x:c>
      <x:c r="G12" s="16" t="str">
        <x:v>EV-ENTR01-03;EV-ENTR02-03;EV-ENTR03-03;EV-ENTR08-02</x:v>
      </x:c>
      <x:c r="H12" s="16" t="str">
        <x:v>Membresías</x:v>
      </x:c>
      <x:c r="I12" s="16" t="str">
        <x:v>Aprobado en baseline v2.0</x:v>
      </x:c>
      <x:c r="J12" s="16" t="str">
        <x:v>MU-13;MU-38;MU-63(F)</x:v>
      </x:c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16" t="str">
        <x:v>RF-MEM-04</x:v>
      </x:c>
      <x:c r="B13" s="16" t="str">
        <x:v>RF</x:v>
      </x:c>
      <x:c r="C13" s="16" t="str">
        <x:v>Alertar vencimientos</x:v>
      </x:c>
      <x:c r="D13" s="16" t="str">
        <x:v>Recepcionista</x:v>
      </x:c>
      <x:c r="E13" s="16" t="str">
        <x:v>El sistema deberá listar diariamente las membresías que vencen en los próximos tres días y las membresías vencidas, sin enviar mensajes externos automáticamente.</x:v>
      </x:c>
      <x:c r="F13" s="16" t="str">
        <x:v>Must</x:v>
      </x:c>
      <x:c r="G13" s="16" t="str">
        <x:v>EV-ENTR01-03;EV-ENTR05-02;EV-ENTR07-02</x:v>
      </x:c>
      <x:c r="H13" s="16" t="str">
        <x:v>Membresías</x:v>
      </x:c>
      <x:c r="I13" s="16" t="str">
        <x:v>Aprobado en baseline v2.0</x:v>
      </x:c>
      <x:c r="J13" s="16" t="str">
        <x:v>MU-10;MU-13;MU-38</x:v>
      </x:c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16" t="str">
        <x:v>RF-PAG-01</x:v>
      </x:c>
      <x:c r="B14" s="16" t="str">
        <x:v>RF</x:v>
      </x:c>
      <x:c r="C14" s="16" t="str">
        <x:v>Registrar pago y comprobante</x:v>
      </x:c>
      <x:c r="D14" s="16" t="str">
        <x:v>Recepcionista</x:v>
      </x:c>
      <x:c r="E14" s="16" t="str">
        <x:v>El sistema deberá registrar monto, concepto, medio, referencia y fecha de un pago, y deberá generar un comprobante interno.</x:v>
      </x:c>
      <x:c r="F14" s="16" t="str">
        <x:v>Must</x:v>
      </x:c>
      <x:c r="G14" s="16" t="str">
        <x:v>EV-ENTR01-02;EV-ENTR02-04;EV-ENTR03-04;EV-ENTR07-02;EV-ENTR08-03</x:v>
      </x:c>
      <x:c r="H14" s="16" t="str">
        <x:v>Pagos</x:v>
      </x:c>
      <x:c r="I14" s="16" t="str">
        <x:v>Aprobado en baseline v2.0</x:v>
      </x:c>
      <x:c r="J14" s="16" t="str">
        <x:v>MU-15;MU-16;MU-40;MU-41</x:v>
      </x:c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16" t="str">
        <x:v>RF-PAG-02</x:v>
      </x:c>
      <x:c r="B15" s="16" t="str">
        <x:v>RF</x:v>
      </x:c>
      <x:c r="C15" s="16" t="str">
        <x:v>Resolver pago pendiente</x:v>
      </x:c>
      <x:c r="D15" s="16" t="str">
        <x:v>Administrador</x:v>
      </x:c>
      <x:c r="E15" s="16" t="str">
        <x:v>El sistema deberá permitir confirmar, rechazar o corregir un pago pendiente, conservando el motivo y el registro de auditoría.</x:v>
      </x:c>
      <x:c r="F15" s="16" t="str">
        <x:v>Should</x:v>
      </x:c>
      <x:c r="G15" s="16" t="str">
        <x:v>EV-ENTR02-04;EV-ENTR03-04;EV-ENTR07-07</x:v>
      </x:c>
      <x:c r="H15" s="16" t="str">
        <x:v>Pagos</x:v>
      </x:c>
      <x:c r="I15" s="16" t="str">
        <x:v>Aprobado en baseline v2.0</x:v>
      </x:c>
      <x:c r="J15" s="16" t="str">
        <x:v>MU-15;MU-40</x:v>
      </x:c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16" t="str">
        <x:v>RF-ASI-01</x:v>
      </x:c>
      <x:c r="B16" s="16" t="str">
        <x:v>RF</x:v>
      </x:c>
      <x:c r="C16" s="16" t="str">
        <x:v>Registrar asistencia</x:v>
      </x:c>
      <x:c r="D16" s="16" t="str">
        <x:v>Recepcionista</x:v>
      </x:c>
      <x:c r="E16" s="16" t="str">
        <x:v>El sistema deberá registrar asistencia mediante código QR como flujo normal y deberá disponer de registro manual como contingencia autorizada, conservando método, responsable, fecha y motivo.</x:v>
      </x:c>
      <x:c r="F16" s="16" t="str">
        <x:v>Must</x:v>
      </x:c>
      <x:c r="G16" s="16" t="str">
        <x:v>EV-ENTR02-03;EV-ENTR03-03;EV-ENTR04-02;EV-ENTR07-07;EV-ENTR08-02</x:v>
      </x:c>
      <x:c r="H16" s="16" t="str">
        <x:v>Asistencias</x:v>
      </x:c>
      <x:c r="I16" s="16" t="str">
        <x:v>Aprobado en baseline v2.0</x:v>
      </x:c>
      <x:c r="J16" s="16" t="str">
        <x:v>MU-20;MU-30*;MU-46;MU-47*</x:v>
      </x:c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16" t="str">
        <x:v>RF-ASI-02</x:v>
      </x:c>
      <x:c r="B17" s="16" t="str">
        <x:v>RF</x:v>
      </x:c>
      <x:c r="C17" s="16" t="str">
        <x:v>Consultar asistencia</x:v>
      </x:c>
      <x:c r="D17" s="16" t="str">
        <x:v>Personal autorizado</x:v>
      </x:c>
      <x:c r="E17" s="16" t="str">
        <x:v>El sistema deberá filtrar asistencias por cliente, fecha y turno, y deberá mostrar los conteos operativos correspondientes.</x:v>
      </x:c>
      <x:c r="F17" s="16" t="str">
        <x:v>Must</x:v>
      </x:c>
      <x:c r="G17" s="16" t="str">
        <x:v>EV-ENTR03-01;EV-ENTR07-01;EV-ENTR08-05;EV-ENTR09-06</x:v>
      </x:c>
      <x:c r="H17" s="16" t="str">
        <x:v>Asistencias</x:v>
      </x:c>
      <x:c r="I17" s="16" t="str">
        <x:v>Aprobado en baseline v2.0</x:v>
      </x:c>
      <x:c r="J17" s="16" t="str">
        <x:v>MU-20;MU-46;MU-56;MU-65(F)</x:v>
      </x:c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16" t="str">
        <x:v>RF-INV-01</x:v>
      </x:c>
      <x:c r="B18" s="16" t="str">
        <x:v>RF</x:v>
      </x:c>
      <x:c r="C18" s="16" t="str">
        <x:v>Administrar productos</x:v>
      </x:c>
      <x:c r="D18" s="16" t="str">
        <x:v>Administrador</x:v>
      </x:c>
      <x:c r="E18" s="16" t="str">
        <x:v>El sistema deberá registrar productos con código, nombre, precio, unidad, stock mínimo y estado.</x:v>
      </x:c>
      <x:c r="F18" s="16" t="str">
        <x:v>Must</x:v>
      </x:c>
      <x:c r="G18" s="16" t="str">
        <x:v>EV-ENTR01-01;EV-ENTR02-05</x:v>
      </x:c>
      <x:c r="H18" s="16" t="str">
        <x:v>Inventario</x:v>
      </x:c>
      <x:c r="I18" s="16" t="str">
        <x:v>Aprobado en baseline v2.0</x:v>
      </x:c>
      <x:c r="J18" s="16" t="str">
        <x:v>MU-19;MU-28;MU-44*;MU-45*</x:v>
      </x:c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16" t="str">
        <x:v>RF-INV-02</x:v>
      </x:c>
      <x:c r="B19" s="16" t="str">
        <x:v>RF</x:v>
      </x:c>
      <x:c r="C19" s="16" t="str">
        <x:v>Registrar movimientos de stock</x:v>
      </x:c>
      <x:c r="D19" s="16" t="str">
        <x:v>Personal autorizado</x:v>
      </x:c>
      <x:c r="E19" s="16" t="str">
        <x:v>El sistema deberá registrar entradas y ajustes de inventario con cantidad, motivo, responsable y saldo resultante.</x:v>
      </x:c>
      <x:c r="F19" s="16" t="str">
        <x:v>Must</x:v>
      </x:c>
      <x:c r="G19" s="16" t="str">
        <x:v>EV-ENTR01-04;EV-ENTR04-04;EV-ENTR07-03</x:v>
      </x:c>
      <x:c r="H19" s="16" t="str">
        <x:v>Inventario</x:v>
      </x:c>
      <x:c r="I19" s="16" t="str">
        <x:v>Aprobado en baseline v2.0</x:v>
      </x:c>
      <x:c r="J19" s="16" t="str">
        <x:v>MU-69</x:v>
      </x:c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16" t="str">
        <x:v>RF-VEN-01</x:v>
      </x:c>
      <x:c r="B20" s="16" t="str">
        <x:v>RF</x:v>
      </x:c>
      <x:c r="C20" s="16" t="str">
        <x:v>Registrar venta</x:v>
      </x:c>
      <x:c r="D20" s="16" t="str">
        <x:v>Recepcionista</x:v>
      </x:c>
      <x:c r="E20" s="16" t="str">
        <x:v>El sistema deberá registrar una venta con sus ítems y medio de pago, y deberá descontar las existencias en la misma transacción.</x:v>
      </x:c>
      <x:c r="F20" s="16" t="str">
        <x:v>Must</x:v>
      </x:c>
      <x:c r="G20" s="16" t="str">
        <x:v>EV-ENTR02-05;EV-ENTR03-01;EV-ENTR04-04;EV-ENTR07-03;EV-ENTR08-03</x:v>
      </x:c>
      <x:c r="H20" s="16" t="str">
        <x:v>Ventas</x:v>
      </x:c>
      <x:c r="I20" s="16" t="str">
        <x:v>Aprobado en baseline v2.0</x:v>
      </x:c>
      <x:c r="J20" s="16" t="str">
        <x:v>MU-18;MU-27;MU-42;MU-43</x:v>
      </x:c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16" t="str">
        <x:v>RF-INV-03</x:v>
      </x:c>
      <x:c r="B21" s="16" t="str">
        <x:v>RF</x:v>
      </x:c>
      <x:c r="C21" s="16" t="str">
        <x:v>Alertar stock y rotacion</x:v>
      </x:c>
      <x:c r="D21" s="16" t="str">
        <x:v>Administrador</x:v>
      </x:c>
      <x:c r="E21" s="16" t="str">
        <x:v>El sistema deberá listar los productos cuyo stock sea igual o inferior al stock mínimo y deberá resumir entradas, salidas y ventas por período.</x:v>
      </x:c>
      <x:c r="F21" s="16" t="str">
        <x:v>Should</x:v>
      </x:c>
      <x:c r="G21" s="16" t="str">
        <x:v>EV-ENTR01-04;EV-ENTR02-05;EV-ENTR05-04;EV-ENTR06-04</x:v>
      </x:c>
      <x:c r="H21" s="16" t="str">
        <x:v>Inventario</x:v>
      </x:c>
      <x:c r="I21" s="16" t="str">
        <x:v>Aprobado en baseline v2.0</x:v>
      </x:c>
      <x:c r="J21" s="16" t="str">
        <x:v>MU-10;MU-19;MU-44*</x:v>
      </x:c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16" t="str">
        <x:v>RF-CAJ-01</x:v>
      </x:c>
      <x:c r="B22" s="16" t="str">
        <x:v>RF</x:v>
      </x:c>
      <x:c r="C22" s="16" t="str">
        <x:v>Cerrar turno y conciliar caja</x:v>
      </x:c>
      <x:c r="D22" s="16" t="str">
        <x:v>Recepcionista</x:v>
      </x:c>
      <x:c r="E22" s="16" t="str">
        <x:v>El sistema deberá calcular pagos y ventas por medio de pago, comparar los valores declarados y registrar las diferencias y la entrega de turno.</x:v>
      </x:c>
      <x:c r="F22" s="16" t="str">
        <x:v>Must</x:v>
      </x:c>
      <x:c r="G22" s="16" t="str">
        <x:v>EV-ENTR02-01;EV-ENTR02-06;EV-ENTR03-05;EV-ENTR04-05;EV-ENTR07-03;EV-ENTR08-04</x:v>
      </x:c>
      <x:c r="H22" s="16" t="str">
        <x:v>Caja</x:v>
      </x:c>
      <x:c r="I22" s="16" t="str">
        <x:v>Aprobado en baseline v2.0</x:v>
      </x:c>
      <x:c r="J22" s="16" t="str">
        <x:v>MU-70</x:v>
      </x:c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16" t="str">
        <x:v>RF-NOV-01</x:v>
      </x:c>
      <x:c r="B23" s="16" t="str">
        <x:v>RF</x:v>
      </x:c>
      <x:c r="C23" s="16" t="str">
        <x:v>Gestionar novedades internas</x:v>
      </x:c>
      <x:c r="D23" s="16" t="str">
        <x:v>Personal autorizado</x:v>
      </x:c>
      <x:c r="E23" s="16" t="str">
        <x:v>El sistema deberá crear una novedad con categoría, detalle mínimo, responsable, vencimiento y uno de los estados: pendiente, en proceso, resuelta o cancelada.</x:v>
      </x:c>
      <x:c r="F23" s="16" t="str">
        <x:v>Must</x:v>
      </x:c>
      <x:c r="G23" s="16" t="str">
        <x:v>EV-ENTR02-01;EV-ENTR02-08;EV-ENTR03-07;EV-ENTR04-06;EV-ENTR05-01</x:v>
      </x:c>
      <x:c r="H23" s="16" t="str">
        <x:v>Novedades</x:v>
      </x:c>
      <x:c r="I23" s="16" t="str">
        <x:v>Aprobado en baseline v2.0</x:v>
      </x:c>
      <x:c r="J23" s="16" t="str">
        <x:v>MU-21;MU-31*;MU-50;MU-51*;MU-61</x:v>
      </x:c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16" t="str">
        <x:v>RF-INS-01</x:v>
      </x:c>
      <x:c r="B24" s="16" t="str">
        <x:v>RF</x:v>
      </x:c>
      <x:c r="C24" s="16" t="str">
        <x:v>Gestionar horario y disponibilidad de instructor</x:v>
      </x:c>
      <x:c r="D24" s="16" t="str">
        <x:v>Administrador</x:v>
      </x:c>
      <x:c r="E24" s="16" t="str">
        <x:v>El sistema deberá registrar turnos, capacidad, disponibilidad y novedades operativas del instructor, sin recopilar datos de salud.</x:v>
      </x:c>
      <x:c r="F24" s="16" t="str">
        <x:v>Should</x:v>
      </x:c>
      <x:c r="G24" s="16" t="str">
        <x:v>EV-ENTR07-06;EV-ENTR09-03;EV-ENTR10-02</x:v>
      </x:c>
      <x:c r="H24" s="16" t="str">
        <x:v>Instructores</x:v>
      </x:c>
      <x:c r="I24" s="16" t="str">
        <x:v>Aprobado en baseline v2.0</x:v>
      </x:c>
      <x:c r="J24" s="16" t="str">
        <x:v>MU-23;MU-33;MU-48*;MU-49*;MU-58</x:v>
      </x:c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16" t="str">
        <x:v>RF-RUT-01</x:v>
      </x:c>
      <x:c r="B25" s="16" t="str">
        <x:v>RF</x:v>
      </x:c>
      <x:c r="C25" s="16" t="str">
        <x:v>Crear y asignar rutina</x:v>
      </x:c>
      <x:c r="D25" s="16" t="str">
        <x:v>Instructor</x:v>
      </x:c>
      <x:c r="E25" s="16" t="str">
        <x:v>El sistema deberá crear una rutina con objetivo operativo, ejercicios, series, repeticiones, descanso y días de ejecución, y deberá asignarla a un cliente autorizado.</x:v>
      </x:c>
      <x:c r="F25" s="16" t="str">
        <x:v>Must</x:v>
      </x:c>
      <x:c r="G25" s="16" t="str">
        <x:v>EV-ENTR01-05;EV-ENTR05-04;EV-ENTR09-01;EV-ENTR09-02;EV-ENTR09-03</x:v>
      </x:c>
      <x:c r="H25" s="16" t="str">
        <x:v>Rutinas</x:v>
      </x:c>
      <x:c r="I25" s="16" t="str">
        <x:v>Aprobado en baseline v2.0</x:v>
      </x:c>
      <x:c r="J25" s="16" t="str">
        <x:v>MU-17*;MU-29*;MU-54;MU-55;MU-64(F)</x:v>
      </x:c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16" t="str">
        <x:v>RF-RUT-02</x:v>
      </x:c>
      <x:c r="B26" s="16" t="str">
        <x:v>RF</x:v>
      </x:c>
      <x:c r="C26" s="16" t="str">
        <x:v>Versionar y ajustar rutina</x:v>
      </x:c>
      <x:c r="D26" s="16" t="str">
        <x:v>Instructor</x:v>
      </x:c>
      <x:c r="E26" s="16" t="str">
        <x:v>El sistema deberá crear una nueva versión cuando se modifiquen ejercicios o parámetros de una rutina y deberá conservar las versiones anteriores en modo de solo lectura.</x:v>
      </x:c>
      <x:c r="F26" s="16" t="str">
        <x:v>Must</x:v>
      </x:c>
      <x:c r="G26" s="16" t="str">
        <x:v>EV-ENTR01-05;EV-ENTR09-01;EV-ENTR09-04;EV-ENTR10-01;EV-ENTR10-03</x:v>
      </x:c>
      <x:c r="H26" s="16" t="str">
        <x:v>Rutinas</x:v>
      </x:c>
      <x:c r="I26" s="16" t="str">
        <x:v>Aprobado en baseline v2.0</x:v>
      </x:c>
      <x:c r="J26" s="16" t="str">
        <x:v>MU-17*;MU-54</x:v>
      </x:c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16" t="str">
        <x:v>RF-RUT-03</x:v>
      </x:c>
      <x:c r="B27" s="16" t="str">
        <x:v>RF</x:v>
      </x:c>
      <x:c r="C27" s="16" t="str">
        <x:v>Registrar seguimiento operativo</x:v>
      </x:c>
      <x:c r="D27" s="16" t="str">
        <x:v>Instructor</x:v>
      </x:c>
      <x:c r="E27" s="16" t="str">
        <x:v>El sistema deberá registrar fecha, cumplimiento de ejercicios, repeticiones y observación operativa, excluyendo diagnósticos, lesiones, peso y medidas corporales reales.</x:v>
      </x:c>
      <x:c r="F27" s="16" t="str">
        <x:v>Should</x:v>
      </x:c>
      <x:c r="G27" s="16" t="str">
        <x:v>EV-ENTR09-04;EV-ENTR09-05;EV-ENTR09-06;EV-ENTR10-03;EV-ENTR10-04</x:v>
      </x:c>
      <x:c r="H27" s="16" t="str">
        <x:v>Rutinas</x:v>
      </x:c>
      <x:c r="I27" s="16" t="str">
        <x:v>Aprobado en baseline v2.0</x:v>
      </x:c>
      <x:c r="J27" s="16" t="str">
        <x:v>MU-59;MU-60*</x:v>
      </x:c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16" t="str">
        <x:v>RF-REP-01</x:v>
      </x:c>
      <x:c r="B28" s="16" t="str">
        <x:v>RF</x:v>
      </x:c>
      <x:c r="C28" s="16" t="str">
        <x:v>Consultar panel y reportes</x:v>
      </x:c>
      <x:c r="D28" s="16" t="str">
        <x:v>Administrador</x:v>
      </x:c>
      <x:c r="E28" s="16" t="str">
        <x:v>El sistema deberá mostrar indicadores filtrables de clientes, membresías, ventas, asistencias, uso y promociones por período, calculados exclusivamente con datos almacenados y exportables a CSV.</x:v>
      </x:c>
      <x:c r="F28" s="16" t="str">
        <x:v>Should</x:v>
      </x:c>
      <x:c r="G28" s="16" t="str">
        <x:v>EV-ENTR01-05;EV-ENTR05-05;EV-ENTR06-04;EV-ENTR07-04;EV-ENTR08-05;EV-ENTR09-05</x:v>
      </x:c>
      <x:c r="H28" s="16" t="str">
        <x:v>Reportes</x:v>
      </x:c>
      <x:c r="I28" s="16" t="str">
        <x:v>Aprobado en baseline v2.0</x:v>
      </x:c>
      <x:c r="J28" s="16" t="str">
        <x:v>MU-10;MU-24;MU-34</x:v>
      </x:c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16" t="str">
        <x:v>RF-MEM-05</x:v>
      </x:c>
      <x:c r="B29" s="16" t="str">
        <x:v>RF</x:v>
      </x:c>
      <x:c r="C29" s="16" t="str">
        <x:v>Consultar mi membresía</x:v>
      </x:c>
      <x:c r="D29" s="16" t="str">
        <x:v>Cliente</x:v>
      </x:c>
      <x:c r="E29" s="16" t="str">
        <x:v>El sistema deberá permitir al cliente autenticado consultar el estado, plan y vigencia de su propia membresía en modo de solo lectura.</x:v>
      </x:c>
      <x:c r="F29" s="16" t="str">
        <x:v>Must</x:v>
      </x:c>
      <x:c r="G29" s="16" t="str">
        <x:v>EV-VT-T02-12; MU-63</x:v>
      </x:c>
      <x:c r="H29" s="16" t="str">
        <x:v>Membresías</x:v>
      </x:c>
      <x:c r="I29" s="16" t="str">
        <x:v>Aprobado en baseline v2.0</x:v>
      </x:c>
      <x:c r="J29" s="16" t="str">
        <x:v>V7 / modelo conceptual</x:v>
      </x:c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16" t="str">
        <x:v>RF-PAG-03</x:v>
      </x:c>
      <x:c r="B30" s="16" t="str">
        <x:v>RF</x:v>
      </x:c>
      <x:c r="C30" s="16" t="str">
        <x:v>Consultar mis pagos</x:v>
      </x:c>
      <x:c r="D30" s="16" t="str">
        <x:v>Cliente</x:v>
      </x:c>
      <x:c r="E30" s="16" t="str">
        <x:v>El sistema deberá permitir al cliente autenticado consultar sus pagos registrados y el estado contextual de cada pago en modo de solo lectura.</x:v>
      </x:c>
      <x:c r="F30" s="16" t="str">
        <x:v>Must</x:v>
      </x:c>
      <x:c r="G30" s="16" t="str">
        <x:v>EV-VT-T02-12</x:v>
      </x:c>
      <x:c r="H30" s="16" t="str">
        <x:v>Pagos</x:v>
      </x:c>
      <x:c r="I30" s="16" t="str">
        <x:v>Aprobado en baseline v2.0</x:v>
      </x:c>
      <x:c r="J30" s="16" t="str">
        <x:v>V7 / modelo conceptual</x:v>
      </x:c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16" t="str">
        <x:v>RF-RUT-04</x:v>
      </x:c>
      <x:c r="B31" s="16" t="str">
        <x:v>RF</x:v>
      </x:c>
      <x:c r="C31" s="16" t="str">
        <x:v>Consultar mi rutina e historial</x:v>
      </x:c>
      <x:c r="D31" s="16" t="str">
        <x:v>Cliente</x:v>
      </x:c>
      <x:c r="E31" s="16" t="str">
        <x:v>El sistema deberá permitir al cliente autenticado consultar su rutina activa, sus versiones y el seguimiento operativo autorizado, sin modificar la rutina vigente.</x:v>
      </x:c>
      <x:c r="F31" s="16" t="str">
        <x:v>Must</x:v>
      </x:c>
      <x:c r="G31" s="16" t="str">
        <x:v>EV-VT-T01-06; EV-VT-T01-08; EV-VT-T02-04</x:v>
      </x:c>
      <x:c r="H31" s="16" t="str">
        <x:v>Rutinas</x:v>
      </x:c>
      <x:c r="I31" s="16" t="str">
        <x:v>Aprobado en baseline v2.0</x:v>
      </x:c>
      <x:c r="J31" s="16" t="str">
        <x:v>V7 / modelo conceptual</x:v>
      </x:c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16" t="str">
        <x:v>RF-INV-04</x:v>
      </x:c>
      <x:c r="B32" s="16" t="str">
        <x:v>RF</x:v>
      </x:c>
      <x:c r="C32" s="16" t="str">
        <x:v>Gestionar categorías de productos</x:v>
      </x:c>
      <x:c r="D32" s="16" t="str">
        <x:v>Dueño</x:v>
      </x:c>
      <x:c r="E32" s="16" t="str">
        <x:v>El sistema deberá permitir al usuario autorizado registrar, consultar, editar y desactivar categorías de productos.</x:v>
      </x:c>
      <x:c r="F32" s="16" t="str">
        <x:v>Should</x:v>
      </x:c>
      <x:c r="G32" s="16" t="str">
        <x:v>EV-VT-T03-06</x:v>
      </x:c>
      <x:c r="H32" s="16" t="str">
        <x:v>Inventario</x:v>
      </x:c>
      <x:c r="I32" s="16" t="str">
        <x:v>Aprobado en baseline v2.0</x:v>
      </x:c>
      <x:c r="J32" s="16" t="str">
        <x:v>V7 / modelo conceptual</x:v>
      </x:c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16" t="str">
        <x:v>RF-INV-05</x:v>
      </x:c>
      <x:c r="B33" s="16" t="str">
        <x:v>RF</x:v>
      </x:c>
      <x:c r="C33" s="16" t="str">
        <x:v>Gestionar proveedores</x:v>
      </x:c>
      <x:c r="D33" s="16" t="str">
        <x:v>Dueño</x:v>
      </x:c>
      <x:c r="E33" s="16" t="str">
        <x:v>El sistema deberá permitir al usuario autorizado registrar, consultar, editar y desactivar proveedores utilizados en inventario.</x:v>
      </x:c>
      <x:c r="F33" s="16" t="str">
        <x:v>Should</x:v>
      </x:c>
      <x:c r="G33" s="16" t="str">
        <x:v>EV-VT-T03-06; EV-VT-T01-10</x:v>
      </x:c>
      <x:c r="H33" s="16" t="str">
        <x:v>Inventario</x:v>
      </x:c>
      <x:c r="I33" s="16" t="str">
        <x:v>Aprobado en baseline v2.0</x:v>
      </x:c>
      <x:c r="J33" s="16" t="str">
        <x:v>V7 / modelo conceptual</x:v>
      </x:c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16" t="str">
        <x:v>RF-CFG-01</x:v>
      </x:c>
      <x:c r="B34" s="16" t="str">
        <x:v>RF</x:v>
      </x:c>
      <x:c r="C34" s="16" t="str">
        <x:v>Configurar tratamiento de IVA</x:v>
      </x:c>
      <x:c r="D34" s="16" t="str">
        <x:v>Dueño</x:v>
      </x:c>
      <x:c r="E34" s="16" t="str">
        <x:v>El sistema deberá permitir configurar el porcentaje general de IVA y definir por producto si el impuesto aplica, conservando el historial de cambios.</x:v>
      </x:c>
      <x:c r="F34" s="16" t="str">
        <x:v>Must</x:v>
      </x:c>
      <x:c r="G34" s="16" t="str">
        <x:v>EV-VT-T03-05</x:v>
      </x:c>
      <x:c r="H34" s="16" t="str">
        <x:v>Configuración</x:v>
      </x:c>
      <x:c r="I34" s="16" t="str">
        <x:v>Aprobado en baseline v2.0</x:v>
      </x:c>
      <x:c r="J34" s="16" t="str">
        <x:v>V7 / modelo conceptual</x:v>
      </x:c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16" t="str">
        <x:v>RF-BCK-01</x:v>
      </x:c>
      <x:c r="B35" s="16" t="str">
        <x:v>RF</x:v>
      </x:c>
      <x:c r="C35" s="16" t="str">
        <x:v>Generar respaldo</x:v>
      </x:c>
      <x:c r="D35" s="16" t="str">
        <x:v>Superadministrador</x:v>
      </x:c>
      <x:c r="E35" s="16" t="str">
        <x:v>El sistema deberá permitir iniciar un respaldo cifrado y consultar su estado y fecha de finalización.</x:v>
      </x:c>
      <x:c r="F35" s="16" t="str">
        <x:v>Should</x:v>
      </x:c>
      <x:c r="G35" s="16" t="str">
        <x:v>EV-VT-T03-10</x:v>
      </x:c>
      <x:c r="H35" s="16" t="str">
        <x:v>Continuidad</x:v>
      </x:c>
      <x:c r="I35" s="16" t="str">
        <x:v>Aprobado en baseline v2.0</x:v>
      </x:c>
      <x:c r="J35" s="16" t="str">
        <x:v>V7 / modelo conceptual</x:v>
      </x:c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16" t="str">
        <x:v>RF-BCK-02</x:v>
      </x:c>
      <x:c r="B36" s="16" t="str">
        <x:v>RF</x:v>
      </x:c>
      <x:c r="C36" s="16" t="str">
        <x:v>Restaurar respaldo</x:v>
      </x:c>
      <x:c r="D36" s="16" t="str">
        <x:v>Superadministrador</x:v>
      </x:c>
      <x:c r="E36" s="16" t="str">
        <x:v>El sistema deberá permitir restaurar un respaldo seleccionado mediante confirmación explícita, verificación de integridad y registro de auditoría.</x:v>
      </x:c>
      <x:c r="F36" s="16" t="str">
        <x:v>Should</x:v>
      </x:c>
      <x:c r="G36" s="16" t="str">
        <x:v>EV-VT-T03-10</x:v>
      </x:c>
      <x:c r="H36" s="16" t="str">
        <x:v>Continuidad</x:v>
      </x:c>
      <x:c r="I36" s="16" t="str">
        <x:v>Aprobado en baseline v2.0</x:v>
      </x:c>
      <x:c r="J36" s="16" t="str">
        <x:v>V7 / modelo conceptual</x:v>
      </x:c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16" t="str">
        <x:v>RF-CFG-02</x:v>
      </x:c>
      <x:c r="B37" s="16" t="str">
        <x:v>RF</x:v>
      </x:c>
      <x:c r="C37" s="16" t="str">
        <x:v>Configurar horario de atención</x:v>
      </x:c>
      <x:c r="D37" s="16" t="str">
        <x:v>Dueño</x:v>
      </x:c>
      <x:c r="E37" s="16" t="str">
        <x:v>El sistema deberá permitir configurar los días y horas de atención del gimnasio y deberá mostrarlos al cliente.</x:v>
      </x:c>
      <x:c r="F37" s="16" t="str">
        <x:v>Could</x:v>
      </x:c>
      <x:c r="G37" s="16" t="str">
        <x:v>IND-14; V7</x:v>
      </x:c>
      <x:c r="H37" s="16" t="str">
        <x:v>Configuración</x:v>
      </x:c>
      <x:c r="I37" s="16" t="str">
        <x:v>Aprobado en baseline v2.0</x:v>
      </x:c>
      <x:c r="J37" s="16" t="str">
        <x:v>V7 / modelo conceptual</x:v>
      </x:c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16" t="str">
        <x:v>RF-IA-RUT-01</x:v>
      </x:c>
      <x:c r="B38" s="16" t="str">
        <x:v>RF</x:v>
      </x:c>
      <x:c r="C38" s="16" t="str">
        <x:v>Generar recomendación de rutina</x:v>
      </x:c>
      <x:c r="D38" s="16" t="str">
        <x:v>Cliente/Instructor</x:v>
      </x:c>
      <x:c r="E38" s="16" t="str">
        <x:v>El sistema deberá generar hasta tres alternativas de rutina a partir del objetivo declarado, la disponibilidad semanal, el historial operativo no sensible y el catálogo de ejercicios autorizado.</x:v>
      </x:c>
      <x:c r="F38" s="16" t="str">
        <x:v>Must</x:v>
      </x:c>
      <x:c r="G38" s="16" t="str">
        <x:v>EV-VT-T02-05; H03; PE5-OE3</x:v>
      </x:c>
      <x:c r="H38" s="16" t="str">
        <x:v>Inteligencia artificial</x:v>
      </x:c>
      <x:c r="I38" s="16" t="str">
        <x:v>Aprobado como requisito PE5; implementación pendiente</x:v>
      </x:c>
      <x:c r="J38" s="16" t="str">
        <x:v>Prototipo pendiente</x:v>
      </x:c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16" t="str">
        <x:v>RF-IA-RUT-02</x:v>
      </x:c>
      <x:c r="B39" s="16" t="str">
        <x:v>RF</x:v>
      </x:c>
      <x:c r="C39" s="16" t="str">
        <x:v>Aceptar, rechazar o solicitar alternativa</x:v>
      </x:c>
      <x:c r="D39" s="16" t="str">
        <x:v>Cliente</x:v>
      </x:c>
      <x:c r="E39" s="16" t="str">
        <x:v>El sistema deberá permitir aceptar, rechazar o solicitar una alternativa antes de incorporar una recomendación a la propuesta de rutina.</x:v>
      </x:c>
      <x:c r="F39" s="16" t="str">
        <x:v>Must</x:v>
      </x:c>
      <x:c r="G39" s="16" t="str">
        <x:v>Decisión del equipo; PE5-OE3</x:v>
      </x:c>
      <x:c r="H39" s="16" t="str">
        <x:v>Inteligencia artificial</x:v>
      </x:c>
      <x:c r="I39" s="16" t="str">
        <x:v>Aprobado como requisito PE5; implementación pendiente</x:v>
      </x:c>
      <x:c r="J39" s="16" t="str">
        <x:v>Prototipo pendiente</x:v>
      </x:c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16" t="str">
        <x:v>RF-IA-RUT-03</x:v>
      </x:c>
      <x:c r="B40" s="16" t="str">
        <x:v>RF</x:v>
      </x:c>
      <x:c r="C40" s="16" t="str">
        <x:v>Revisar recomendación de rutina</x:v>
      </x:c>
      <x:c r="D40" s="16" t="str">
        <x:v>Instructor</x:v>
      </x:c>
      <x:c r="E40" s="16" t="str">
        <x:v>El sistema deberá exigir la revisión del instructor antes de activar una rutina recomendada y deberá conservar la decisión y el motivo.</x:v>
      </x:c>
      <x:c r="F40" s="16" t="str">
        <x:v>Must</x:v>
      </x:c>
      <x:c r="G40" s="16" t="str">
        <x:v>EV-VT-T01-07; EV-VT-T01-08; H02</x:v>
      </x:c>
      <x:c r="H40" s="16" t="str">
        <x:v>Inteligencia artificial</x:v>
      </x:c>
      <x:c r="I40" s="16" t="str">
        <x:v>Aprobado como requisito PE5; implementación pendiente</x:v>
      </x:c>
      <x:c r="J40" s="16" t="str">
        <x:v>Prototipo pendiente</x:v>
      </x:c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16" t="str">
        <x:v>RF-IA-ABA-01</x:v>
      </x:c>
      <x:c r="B41" s="16" t="str">
        <x:v>RF</x:v>
      </x:c>
      <x:c r="C41" s="16" t="str">
        <x:v>Calcular riesgo de inactividad</x:v>
      </x:c>
      <x:c r="D41" s="16" t="str">
        <x:v>Dueño</x:v>
      </x:c>
      <x:c r="E41" s="16" t="str">
        <x:v>El sistema deberá calcular semanalmente un nivel de riesgo bajo, medio o alto usando únicamente asistencia, vigencia de membresía y frecuencia histórica.</x:v>
      </x:c>
      <x:c r="F41" s="16" t="str">
        <x:v>Should</x:v>
      </x:c>
      <x:c r="G41" s="16" t="str">
        <x:v>PE5-OE3; decisión de diseño</x:v>
      </x:c>
      <x:c r="H41" s="16" t="str">
        <x:v>Inteligencia artificial</x:v>
      </x:c>
      <x:c r="I41" s="16" t="str">
        <x:v>Aprobado como requisito PE5; implementación pendiente</x:v>
      </x:c>
      <x:c r="J41" s="16" t="str">
        <x:v>Prototipo pendiente</x:v>
      </x:c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16" t="str">
        <x:v>RF-IA-ABA-02</x:v>
      </x:c>
      <x:c r="B42" s="16" t="str">
        <x:v>RF</x:v>
      </x:c>
      <x:c r="C42" s="16" t="str">
        <x:v>Mostrar alertas de riesgo</x:v>
      </x:c>
      <x:c r="D42" s="16" t="str">
        <x:v>Dueño/Recepcionista</x:v>
      </x:c>
      <x:c r="E42" s="16" t="str">
        <x:v>El sistema deberá mostrar los clientes con riesgo medio o alto, los factores principales y la fecha del cálculo, sin ejecutar acciones automáticas.</x:v>
      </x:c>
      <x:c r="F42" s="16" t="str">
        <x:v>Should</x:v>
      </x:c>
      <x:c r="G42" s="16" t="str">
        <x:v>PE5-OE3; decisión de diseño</x:v>
      </x:c>
      <x:c r="H42" s="16" t="str">
        <x:v>Inteligencia artificial</x:v>
      </x:c>
      <x:c r="I42" s="16" t="str">
        <x:v>Aprobado como requisito PE5; implementación pendiente</x:v>
      </x:c>
      <x:c r="J42" s="16" t="str">
        <x:v>Prototipo pendiente</x:v>
      </x:c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16" t="str">
        <x:v>RF-IA-ABA-03</x:v>
      </x:c>
      <x:c r="B43" s="16" t="str">
        <x:v>RF</x:v>
      </x:c>
      <x:c r="C43" s="16" t="str">
        <x:v>Registrar seguimiento de alerta</x:v>
      </x:c>
      <x:c r="D43" s="16" t="str">
        <x:v>Recepcionista</x:v>
      </x:c>
      <x:c r="E43" s="16" t="str">
        <x:v>El sistema deberá permitir registrar el contacto, aplazamiento o descarte de una alerta y deberá conservar la decisión humana para auditoría.</x:v>
      </x:c>
      <x:c r="F43" s="16" t="str">
        <x:v>Should</x:v>
      </x:c>
      <x:c r="G43" s="16" t="str">
        <x:v>PE5-OE3; decisión de diseño</x:v>
      </x:c>
      <x:c r="H43" s="16" t="str">
        <x:v>Inteligencia artificial</x:v>
      </x:c>
      <x:c r="I43" s="16" t="str">
        <x:v>Aprobado como requisito PE5; implementación pendiente</x:v>
      </x:c>
      <x:c r="J43" s="16" t="str">
        <x:v>Prototipo pendiente</x:v>
      </x:c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16" t="str">
        <x:v>RNF-AF-01</x:v>
      </x:c>
      <x:c r="B44" s="16" t="str">
        <x:v>RNF</x:v>
      </x:c>
      <x:c r="C44" s="16" t="str">
        <x:v>Adecuación funcional</x:v>
      </x:c>
      <x:c r="D44" s="16" t="str">
        <x:v>Equipo/usuarios</x:v>
      </x:c>
      <x:c r="E44" s="16" t="str">
        <x:v>El 100 % de los RF Must deberá disponer de criterio BDD y caso de prueba conceptual antes de liberar una línea base.</x:v>
      </x:c>
      <x:c r="F44" s="16" t="str">
        <x:v>Must</x:v>
      </x:c>
      <x:c r="G44" s="16" t="str">
        <x:v>ISO/IEC 25010:2023; PE5</x:v>
      </x:c>
      <x:c r="H44" s="16" t="str">
        <x:v>Transversal</x:v>
      </x:c>
      <x:c r="I44" s="16" t="str">
        <x:v>Especificado; verificación pendiente</x:v>
      </x:c>
      <x:c r="J44" s="16" t="str">
        <x:v>N/A</x:v>
      </x:c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16" t="str">
        <x:v>RNF-ED-01</x:v>
      </x:c>
      <x:c r="B45" s="16" t="str">
        <x:v>RNF</x:v>
      </x:c>
      <x:c r="C45" s="16" t="str">
        <x:v>Rendimiento de consultas</x:v>
      </x:c>
      <x:c r="D45" s="16" t="str">
        <x:v>Equipo/usuarios</x:v>
      </x:c>
      <x:c r="E45" s="16" t="str">
        <x:v>Con 10 000 clientes sintéticos y 20 sesiones concurrentes, el percentil 95 de búsqueda y consulta será menor o igual a 5 s y la tasa de error menor o igual a 1 %.</x:v>
      </x:c>
      <x:c r="F45" s="16" t="str">
        <x:v>Must</x:v>
      </x:c>
      <x:c r="G45" s="16" t="str">
        <x:v>ISO/IEC 25010:2023</x:v>
      </x:c>
      <x:c r="H45" s="16" t="str">
        <x:v>Transversal</x:v>
      </x:c>
      <x:c r="I45" s="16" t="str">
        <x:v>Especificado; verificación pendiente</x:v>
      </x:c>
      <x:c r="J45" s="16" t="str">
        <x:v>N/A</x:v>
      </x:c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16" t="str">
        <x:v>RNF-ED-02</x:v>
      </x:c>
      <x:c r="B46" s="16" t="str">
        <x:v>RNF</x:v>
      </x:c>
      <x:c r="C46" s="16" t="str">
        <x:v>Tiempo de registro de asistencia</x:v>
      </x:c>
      <x:c r="D46" s="16" t="str">
        <x:v>Equipo/usuarios</x:v>
      </x:c>
      <x:c r="E46" s="16" t="str">
        <x:v>Al menos 9 de 10 tareas moderadas de registro de asistencia deberán completarse en 30 s o menos.</x:v>
      </x:c>
      <x:c r="F46" s="16" t="str">
        <x:v>Must</x:v>
      </x:c>
      <x:c r="G46" s="16" t="str">
        <x:v>EV-VT-T01-03; EV-VT-T02-06; EV-VT-T03-08</x:v>
      </x:c>
      <x:c r="H46" s="16" t="str">
        <x:v>Transversal</x:v>
      </x:c>
      <x:c r="I46" s="16" t="str">
        <x:v>Especificado; verificación pendiente</x:v>
      </x:c>
      <x:c r="J46" s="16" t="str">
        <x:v>N/A</x:v>
      </x:c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16" t="str">
        <x:v>RNF-COM-01</x:v>
      </x:c>
      <x:c r="B47" s="16" t="str">
        <x:v>RNF</x:v>
      </x:c>
      <x:c r="C47" s="16" t="str">
        <x:v>Compatibilidad web</x:v>
      </x:c>
      <x:c r="D47" s="16" t="str">
        <x:v>Equipo/usuarios</x:v>
      </x:c>
      <x:c r="E47" s="16" t="str">
        <x:v>Las funciones Must deberán superar todas sus pruebas en las dos versiones estables más recientes de Chrome, Edge y Firefox disponibles al corte.</x:v>
      </x:c>
      <x:c r="F47" s="16" t="str">
        <x:v>Should</x:v>
      </x:c>
      <x:c r="G47" s="16" t="str">
        <x:v>ISO/IEC 25010:2023</x:v>
      </x:c>
      <x:c r="H47" s="16" t="str">
        <x:v>Transversal</x:v>
      </x:c>
      <x:c r="I47" s="16" t="str">
        <x:v>Especificado; verificación pendiente</x:v>
      </x:c>
      <x:c r="J47" s="16" t="str">
        <x:v>N/A</x:v>
      </x:c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16" t="str">
        <x:v>RNF-IU-01</x:v>
      </x:c>
      <x:c r="B48" s="16" t="str">
        <x:v>RNF</x:v>
      </x:c>
      <x:c r="C48" s="16" t="str">
        <x:v>Usabilidad de tareas críticas</x:v>
      </x:c>
      <x:c r="D48" s="16" t="str">
        <x:v>Equipo/usuarios</x:v>
      </x:c>
      <x:c r="E48" s="16" t="str">
        <x:v>Al menos 9 de 10 tareas críticas deberán completarse sin ayuda por cada perfil en walkthrough moderado.</x:v>
      </x:c>
      <x:c r="F48" s="16" t="str">
        <x:v>Must</x:v>
      </x:c>
      <x:c r="G48" s="16" t="str">
        <x:v>EV-VT-T01-11; EV-VT-T01-12; H04; H05</x:v>
      </x:c>
      <x:c r="H48" s="16" t="str">
        <x:v>Transversal</x:v>
      </x:c>
      <x:c r="I48" s="16" t="str">
        <x:v>Especificado; verificación pendiente</x:v>
      </x:c>
      <x:c r="J48" s="16" t="str">
        <x:v>N/A</x:v>
      </x:c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16" t="str">
        <x:v>RNF-IU-02</x:v>
      </x:c>
      <x:c r="B49" s="16" t="str">
        <x:v>RNF</x:v>
      </x:c>
      <x:c r="C49" s="16" t="str">
        <x:v>Accesibilidad</x:v>
      </x:c>
      <x:c r="D49" s="16" t="str">
        <x:v>Equipo/usuarios</x:v>
      </x:c>
      <x:c r="E49" s="16" t="str">
        <x:v>Las pantallas Must deberán cumplir WCAG 2.2 nivel AA en criterios aplicables, sin errores críticos.</x:v>
      </x:c>
      <x:c r="F49" s="16" t="str">
        <x:v>Should</x:v>
      </x:c>
      <x:c r="G49" s="16" t="str">
        <x:v>WCAG 2.2</x:v>
      </x:c>
      <x:c r="H49" s="16" t="str">
        <x:v>Transversal</x:v>
      </x:c>
      <x:c r="I49" s="16" t="str">
        <x:v>Especificado; verificación pendiente</x:v>
      </x:c>
      <x:c r="J49" s="16" t="str">
        <x:v>N/A</x:v>
      </x:c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16" t="str">
        <x:v>RNF-FIA-01</x:v>
      </x:c>
      <x:c r="B50" s="16" t="str">
        <x:v>RNF</x:v>
      </x:c>
      <x:c r="C50" s="16" t="str">
        <x:v>Integridad transaccional</x:v>
      </x:c>
      <x:c r="D50" s="16" t="str">
        <x:v>Equipo/usuarios</x:v>
      </x:c>
      <x:c r="E50" s="16" t="str">
        <x:v>Tras 100 operaciones de pago, venta y asistencia con una interrupción simulada no deberán quedar registros parciales y la recuperación será menor o igual a 10 min.</x:v>
      </x:c>
      <x:c r="F50" s="16" t="str">
        <x:v>Must</x:v>
      </x:c>
      <x:c r="G50" s="16" t="str">
        <x:v>ISO/IEC 25010:2023</x:v>
      </x:c>
      <x:c r="H50" s="16" t="str">
        <x:v>Transversal</x:v>
      </x:c>
      <x:c r="I50" s="16" t="str">
        <x:v>Especificado; verificación pendiente</x:v>
      </x:c>
      <x:c r="J50" s="16" t="str">
        <x:v>N/A</x:v>
      </x:c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16" t="str">
        <x:v>RNF-FIA-02</x:v>
      </x:c>
      <x:c r="B51" s="16" t="str">
        <x:v>RNF</x:v>
      </x:c>
      <x:c r="C51" s="16" t="str">
        <x:v>Recuperación</x:v>
      </x:c>
      <x:c r="D51" s="16" t="str">
        <x:v>Equipo/usuarios</x:v>
      </x:c>
      <x:c r="E51" s="16" t="str">
        <x:v>Una copia diaria cifrada deberá permitir restaurar una base sintética con RPO menor o igual a 24 h y RTO menor o igual a 4 h.</x:v>
      </x:c>
      <x:c r="F51" s="16" t="str">
        <x:v>Should</x:v>
      </x:c>
      <x:c r="G51" s="16" t="str">
        <x:v>EV-VT-T03-10; H12</x:v>
      </x:c>
      <x:c r="H51" s="16" t="str">
        <x:v>Transversal</x:v>
      </x:c>
      <x:c r="I51" s="16" t="str">
        <x:v>Especificado; verificación pendiente</x:v>
      </x:c>
      <x:c r="J51" s="16" t="str">
        <x:v>N/A</x:v>
      </x:c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16" t="str">
        <x:v>RNF-SEG-01</x:v>
      </x:c>
      <x:c r="B52" s="16" t="str">
        <x:v>RNF</x:v>
      </x:c>
      <x:c r="C52" s="16" t="str">
        <x:v>Autorización</x:v>
      </x:c>
      <x:c r="D52" s="16" t="str">
        <x:v>Equipo/usuarios</x:v>
      </x:c>
      <x:c r="E52" s="16" t="str">
        <x:v>El 100 % de las pruebas negativas deberá impedir acceso fuera del rol y registrar el intento sin exponer datos personales.</x:v>
      </x:c>
      <x:c r="F52" s="16" t="str">
        <x:v>Must</x:v>
      </x:c>
      <x:c r="G52" s="16" t="str">
        <x:v>LOPDP; RF-AUT-02</x:v>
      </x:c>
      <x:c r="H52" s="16" t="str">
        <x:v>Transversal</x:v>
      </x:c>
      <x:c r="I52" s="16" t="str">
        <x:v>Especificado; verificación pendiente</x:v>
      </x:c>
      <x:c r="J52" s="16" t="str">
        <x:v>N/A</x:v>
      </x:c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16" t="str">
        <x:v>RNF-SEG-02</x:v>
      </x:c>
      <x:c r="B53" s="16" t="str">
        <x:v>RNF</x:v>
      </x:c>
      <x:c r="C53" s="16" t="str">
        <x:v>Minimización de datos</x:v>
      </x:c>
      <x:c r="D53" s="16" t="str">
        <x:v>Equipo/usuarios</x:v>
      </x:c>
      <x:c r="E53" s="16" t="str">
        <x:v>En desarrollo y pruebas, la cobertura de captura de salud, biometría, peso, medidas e imagen corporal real deberá ser 0 %.</x:v>
      </x:c>
      <x:c r="F53" s="16" t="str">
        <x:v>Must</x:v>
      </x:c>
      <x:c r="G53" s="16" t="str">
        <x:v>LOPDP; I-01</x:v>
      </x:c>
      <x:c r="H53" s="16" t="str">
        <x:v>Transversal</x:v>
      </x:c>
      <x:c r="I53" s="16" t="str">
        <x:v>Especificado; verificación pendiente</x:v>
      </x:c>
      <x:c r="J53" s="16" t="str">
        <x:v>N/A</x:v>
      </x:c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16" t="str">
        <x:v>RNF-SEG-03</x:v>
      </x:c>
      <x:c r="B54" s="16" t="str">
        <x:v>RNF</x:v>
      </x:c>
      <x:c r="C54" s="16" t="str">
        <x:v>Sesión y cifrado</x:v>
      </x:c>
      <x:c r="D54" s="16" t="str">
        <x:v>Equipo/usuarios</x:v>
      </x:c>
      <x:c r="E54" s="16" t="str">
        <x:v>Las sesiones expirarán tras 15 min de inactividad y todo tráfico conectado utilizará TLS 1.2 o superior.</x:v>
      </x:c>
      <x:c r="F54" s="16" t="str">
        <x:v>Must</x:v>
      </x:c>
      <x:c r="G54" s="16" t="str">
        <x:v>LOPDP; OWASP</x:v>
      </x:c>
      <x:c r="H54" s="16" t="str">
        <x:v>Transversal</x:v>
      </x:c>
      <x:c r="I54" s="16" t="str">
        <x:v>Especificado; verificación pendiente</x:v>
      </x:c>
      <x:c r="J54" s="16" t="str">
        <x:v>N/A</x:v>
      </x:c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16" t="str">
        <x:v>RNF-MAN-01</x:v>
      </x:c>
      <x:c r="B55" s="16" t="str">
        <x:v>RNF</x:v>
      </x:c>
      <x:c r="C55" s="16" t="str">
        <x:v>Cobertura de pruebas</x:v>
      </x:c>
      <x:c r="D55" s="16" t="str">
        <x:v>Equipo/usuarios</x:v>
      </x:c>
      <x:c r="E55" s="16" t="str">
        <x:v>La suite automatizada deberá cubrir al menos el 70 % de líneas de los módulos de dominio antes de etiquetar una versión candidata.</x:v>
      </x:c>
      <x:c r="F55" s="16" t="str">
        <x:v>Should</x:v>
      </x:c>
      <x:c r="G55" s="16" t="str">
        <x:v>ISO/IEC 25010:2023</x:v>
      </x:c>
      <x:c r="H55" s="16" t="str">
        <x:v>Transversal</x:v>
      </x:c>
      <x:c r="I55" s="16" t="str">
        <x:v>Especificado; verificación pendiente</x:v>
      </x:c>
      <x:c r="J55" s="16" t="str">
        <x:v>N/A</x:v>
      </x:c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16" t="str">
        <x:v>RNF-MAN-02</x:v>
      </x:c>
      <x:c r="B56" s="16" t="str">
        <x:v>RNF</x:v>
      </x:c>
      <x:c r="C56" s="16" t="str">
        <x:v>Acoplamiento modular</x:v>
      </x:c>
      <x:c r="D56" s="16" t="str">
        <x:v>Equipo/usuarios</x:v>
      </x:c>
      <x:c r="E56" s="16" t="str">
        <x:v>Un cambio de regla en un módulo no deberá exigir modificar más de un módulo consumidor.</x:v>
      </x:c>
      <x:c r="F56" s="16" t="str">
        <x:v>Should</x:v>
      </x:c>
      <x:c r="G56" s="16" t="str">
        <x:v>ISO/IEC 25010:2023; H16</x:v>
      </x:c>
      <x:c r="H56" s="16" t="str">
        <x:v>Transversal</x:v>
      </x:c>
      <x:c r="I56" s="16" t="str">
        <x:v>Especificado; verificación pendiente</x:v>
      </x:c>
      <x:c r="J56" s="16" t="str">
        <x:v>N/A</x:v>
      </x:c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16" t="str">
        <x:v>RNF-POR-01</x:v>
      </x:c>
      <x:c r="B57" s="16" t="str">
        <x:v>RNF</x:v>
      </x:c>
      <x:c r="C57" s="16" t="str">
        <x:v>Despliegue reproducible</x:v>
      </x:c>
      <x:c r="D57" s="16" t="str">
        <x:v>Equipo/usuarios</x:v>
      </x:c>
      <x:c r="E57" s="16" t="str">
        <x:v>El sistema y sus pruebas deberán desplegarse con una única instrucción documentada en Windows 11 y Linux LTS, sin editar código fuente.</x:v>
      </x:c>
      <x:c r="F57" s="16" t="str">
        <x:v>Should</x:v>
      </x:c>
      <x:c r="G57" s="16" t="str">
        <x:v>ISO/IEC 25010:2023</x:v>
      </x:c>
      <x:c r="H57" s="16" t="str">
        <x:v>Transversal</x:v>
      </x:c>
      <x:c r="I57" s="16" t="str">
        <x:v>Especificado; verificación pendiente</x:v>
      </x:c>
      <x:c r="J57" s="16" t="str">
        <x:v>N/A</x:v>
      </x:c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16" t="str">
        <x:v>RNF-FLE-01</x:v>
      </x:c>
      <x:c r="B58" s="16" t="str">
        <x:v>RNF</x:v>
      </x:c>
      <x:c r="C58" s="16" t="str">
        <x:v>Configurabilidad</x:v>
      </x:c>
      <x:c r="D58" s="16" t="str">
        <x:v>Equipo/usuarios</x:v>
      </x:c>
      <x:c r="E58" s="16" t="str">
        <x:v>Planes, precios, IVA, stock mínimo, roles y ventanas de alerta deberán modificarse por configuración autorizada sin recompilar.</x:v>
      </x:c>
      <x:c r="F58" s="16" t="str">
        <x:v>Should</x:v>
      </x:c>
      <x:c r="G58" s="16" t="str">
        <x:v>EV-VT-T03-05; H10; H16</x:v>
      </x:c>
      <x:c r="H58" s="16" t="str">
        <x:v>Transversal</x:v>
      </x:c>
      <x:c r="I58" s="16" t="str">
        <x:v>Especificado; verificación pendiente</x:v>
      </x:c>
      <x:c r="J58" s="16" t="str">
        <x:v>N/A</x:v>
      </x:c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16" t="str">
        <x:v>RNF-IA-RUT-P01</x:v>
      </x:c>
      <x:c r="B59" s="16" t="str">
        <x:v>RNF</x:v>
      </x:c>
      <x:c r="C59" s="16" t="str">
        <x:v>Precisión top-3</x:v>
      </x:c>
      <x:c r="D59" s="16" t="str">
        <x:v>Equipo/usuarios</x:v>
      </x:c>
      <x:c r="E59" s="16" t="str">
        <x:v>El recomendador deberá alcanzar precisión top-3 mayor o igual a 0,80 sobre un conjunto de evaluación versionado de al menos 300 casos sintéticos revisados por instructores.</x:v>
      </x:c>
      <x:c r="F59" s="16" t="str">
        <x:v>Must</x:v>
      </x:c>
      <x:c r="G59" s="16" t="str">
        <x:v>PE5-OE3; ISO/IEC 25010:2023</x:v>
      </x:c>
      <x:c r="H59" s="16" t="str">
        <x:v>Inteligencia artificial</x:v>
      </x:c>
      <x:c r="I59" s="16" t="str">
        <x:v>Aprobado como requisito PE5; evaluación pendiente</x:v>
      </x:c>
      <x:c r="J59" s="16" t="str">
        <x:v>N/A</x:v>
      </x:c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16" t="str">
        <x:v>RNF-IA-RUT-P02</x:v>
      </x:c>
      <x:c r="B60" s="16" t="str">
        <x:v>RNF</x:v>
      </x:c>
      <x:c r="C60" s="16" t="str">
        <x:v>Latencia</x:v>
      </x:c>
      <x:c r="D60" s="16" t="str">
        <x:v>Equipo/usuarios</x:v>
      </x:c>
      <x:c r="E60" s="16" t="str">
        <x:v>El percentil 95 de inferencia del recomendador deberá ser menor o igual a 800 ms con 50 solicitudes concurrentes.</x:v>
      </x:c>
      <x:c r="F60" s="16" t="str">
        <x:v>Must</x:v>
      </x:c>
      <x:c r="G60" s="16" t="str">
        <x:v>PE5-OE3</x:v>
      </x:c>
      <x:c r="H60" s="16" t="str">
        <x:v>Inteligencia artificial</x:v>
      </x:c>
      <x:c r="I60" s="16" t="str">
        <x:v>Aprobado como requisito PE5; evaluación pendiente</x:v>
      </x:c>
      <x:c r="J60" s="16" t="str">
        <x:v>N/A</x:v>
      </x:c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16" t="str">
        <x:v>RNF-IA-RUT-P03</x:v>
      </x:c>
      <x:c r="B61" s="16" t="str">
        <x:v>RNF</x:v>
      </x:c>
      <x:c r="C61" s="16" t="str">
        <x:v>Disponibilidad</x:v>
      </x:c>
      <x:c r="D61" s="16" t="str">
        <x:v>Equipo/usuarios</x:v>
      </x:c>
      <x:c r="E61" s="16" t="str">
        <x:v>El recomendador deberá mantener disponibilidad mensual mayor o igual a 99 %; si falla, se habilitará creación manual de rutina.</x:v>
      </x:c>
      <x:c r="F61" s="16" t="str">
        <x:v>Should</x:v>
      </x:c>
      <x:c r="G61" s="16" t="str">
        <x:v>PE5-OE3</x:v>
      </x:c>
      <x:c r="H61" s="16" t="str">
        <x:v>Inteligencia artificial</x:v>
      </x:c>
      <x:c r="I61" s="16" t="str">
        <x:v>Aprobado como requisito PE5; evaluación pendiente</x:v>
      </x:c>
      <x:c r="J61" s="16" t="str">
        <x:v>N/A</x:v>
      </x:c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16" t="str">
        <x:v>RNF-IA-RUT-E01</x:v>
      </x:c>
      <x:c r="B62" s="16" t="str">
        <x:v>RNF</x:v>
      </x:c>
      <x:c r="C62" s="16" t="str">
        <x:v>Equidad por rango etario</x:v>
      </x:c>
      <x:c r="D62" s="16" t="str">
        <x:v>Equipo/usuarios</x:v>
      </x:c>
      <x:c r="E62" s="16" t="str">
        <x:v>La diferencia de precisión top-3 entre grupos de 18-35, 36-55 y 56 o más años no deberá superar 5 puntos porcentuales en el conjunto de evaluación.</x:v>
      </x:c>
      <x:c r="F62" s="16" t="str">
        <x:v>Must</x:v>
      </x:c>
      <x:c r="G62" s="16" t="str">
        <x:v>PE5-OE3; Reglamento (UE) 2024/1689</x:v>
      </x:c>
      <x:c r="H62" s="16" t="str">
        <x:v>Inteligencia artificial</x:v>
      </x:c>
      <x:c r="I62" s="16" t="str">
        <x:v>Aprobado como requisito PE5; evaluación pendiente</x:v>
      </x:c>
      <x:c r="J62" s="16" t="str">
        <x:v>N/A</x:v>
      </x:c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16" t="str">
        <x:v>RNF-IA-RUT-E02</x:v>
      </x:c>
      <x:c r="B63" s="16" t="str">
        <x:v>RNF</x:v>
      </x:c>
      <x:c r="C63" s="16" t="str">
        <x:v>Equidad por género declarado</x:v>
      </x:c>
      <x:c r="D63" s="16" t="str">
        <x:v>Equipo/usuarios</x:v>
      </x:c>
      <x:c r="E63" s="16" t="str">
        <x:v>La diferencia de tasa de aceptación útil entre grupos con al menos 30 observaciones no deberá superar 5 puntos porcentuales; no se inferirá el género.</x:v>
      </x:c>
      <x:c r="F63" s="16" t="str">
        <x:v>Must</x:v>
      </x:c>
      <x:c r="G63" s="16" t="str">
        <x:v>PE5-OE3; LOPDP</x:v>
      </x:c>
      <x:c r="H63" s="16" t="str">
        <x:v>Inteligencia artificial</x:v>
      </x:c>
      <x:c r="I63" s="16" t="str">
        <x:v>Aprobado como requisito PE5; evaluación pendiente</x:v>
      </x:c>
      <x:c r="J63" s="16" t="str">
        <x:v>N/A</x:v>
      </x:c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16" t="str">
        <x:v>RNF-IA-RUT-X01</x:v>
      </x:c>
      <x:c r="B64" s="16" t="str">
        <x:v>RNF</x:v>
      </x:c>
      <x:c r="C64" s="16" t="str">
        <x:v>Explicabilidad de rutina</x:v>
      </x:c>
      <x:c r="D64" s="16" t="str">
        <x:v>Equipo/usuarios</x:v>
      </x:c>
      <x:c r="E64" s="16" t="str">
        <x:v>Cada recomendación deberá presentar al menos tres factores determinantes y las restricciones aplicadas, antes de solicitar aceptación.</x:v>
      </x:c>
      <x:c r="F64" s="16" t="str">
        <x:v>Must</x:v>
      </x:c>
      <x:c r="G64" s="16" t="str">
        <x:v>EV-VT-T02-05; H03</x:v>
      </x:c>
      <x:c r="H64" s="16" t="str">
        <x:v>Inteligencia artificial</x:v>
      </x:c>
      <x:c r="I64" s="16" t="str">
        <x:v>Aprobado como requisito PE5; evaluación pendiente</x:v>
      </x:c>
      <x:c r="J64" s="16" t="str">
        <x:v>N/A</x:v>
      </x:c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16" t="str">
        <x:v>RNF-IA-ABA-P01</x:v>
      </x:c>
      <x:c r="B65" s="16" t="str">
        <x:v>RNF</x:v>
      </x:c>
      <x:c r="C65" s="16" t="str">
        <x:v>F1 de riesgo</x:v>
      </x:c>
      <x:c r="D65" s="16" t="str">
        <x:v>Equipo/usuarios</x:v>
      </x:c>
      <x:c r="E65" s="16" t="str">
        <x:v>El detector de inactividad deberá alcanzar F1 mayor o igual a 0,80 para la clase de riesgo alto sobre un conjunto temporal separado de al menos 500 casos sintéticos.</x:v>
      </x:c>
      <x:c r="F65" s="16" t="str">
        <x:v>Should</x:v>
      </x:c>
      <x:c r="G65" s="16" t="str">
        <x:v>PE5-OE3</x:v>
      </x:c>
      <x:c r="H65" s="16" t="str">
        <x:v>Inteligencia artificial</x:v>
      </x:c>
      <x:c r="I65" s="16" t="str">
        <x:v>Aprobado como requisito PE5; evaluación pendiente</x:v>
      </x:c>
      <x:c r="J65" s="16" t="str">
        <x:v>N/A</x:v>
      </x:c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16" t="str">
        <x:v>RNF-IA-ABA-P02</x:v>
      </x:c>
      <x:c r="B66" s="16" t="str">
        <x:v>RNF</x:v>
      </x:c>
      <x:c r="C66" s="16" t="str">
        <x:v>Latencia por lote</x:v>
      </x:c>
      <x:c r="D66" s="16" t="str">
        <x:v>Equipo/usuarios</x:v>
      </x:c>
      <x:c r="E66" s="16" t="str">
        <x:v>El cálculo semanal de riesgo para 10 000 clientes deberá completarse en 10 min o menos.</x:v>
      </x:c>
      <x:c r="F66" s="16" t="str">
        <x:v>Should</x:v>
      </x:c>
      <x:c r="G66" s="16" t="str">
        <x:v>PE5-OE3</x:v>
      </x:c>
      <x:c r="H66" s="16" t="str">
        <x:v>Inteligencia artificial</x:v>
      </x:c>
      <x:c r="I66" s="16" t="str">
        <x:v>Aprobado como requisito PE5; evaluación pendiente</x:v>
      </x:c>
      <x:c r="J66" s="16" t="str">
        <x:v>N/A</x:v>
      </x:c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16" t="str">
        <x:v>RNF-IA-ABA-P03</x:v>
      </x:c>
      <x:c r="B67" s="16" t="str">
        <x:v>RNF</x:v>
      </x:c>
      <x:c r="C67" s="16" t="str">
        <x:v>Disponibilidad de alertas</x:v>
      </x:c>
      <x:c r="D67" s="16" t="str">
        <x:v>Equipo/usuarios</x:v>
      </x:c>
      <x:c r="E67" s="16" t="str">
        <x:v>Las alertas deberán quedar disponibles antes de las 08:00 del primer día laborable; ante fallo se conservará el último cálculo con fecha visible.</x:v>
      </x:c>
      <x:c r="F67" s="16" t="str">
        <x:v>Should</x:v>
      </x:c>
      <x:c r="G67" s="16" t="str">
        <x:v>PE5-OE3</x:v>
      </x:c>
      <x:c r="H67" s="16" t="str">
        <x:v>Inteligencia artificial</x:v>
      </x:c>
      <x:c r="I67" s="16" t="str">
        <x:v>Aprobado como requisito PE5; evaluación pendiente</x:v>
      </x:c>
      <x:c r="J67" s="16" t="str">
        <x:v>N/A</x:v>
      </x:c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16" t="str">
        <x:v>RNF-IA-ABA-E01</x:v>
      </x:c>
      <x:c r="B68" s="16" t="str">
        <x:v>RNF</x:v>
      </x:c>
      <x:c r="C68" s="16" t="str">
        <x:v>Equidad por rango etario</x:v>
      </x:c>
      <x:c r="D68" s="16" t="str">
        <x:v>Equipo/usuarios</x:v>
      </x:c>
      <x:c r="E68" s="16" t="str">
        <x:v>La diferencia de tasa de falsos positivos entre grupos etarios con al menos 30 casos no deberá superar 5 puntos porcentuales.</x:v>
      </x:c>
      <x:c r="F68" s="16" t="str">
        <x:v>Must</x:v>
      </x:c>
      <x:c r="G68" s="16" t="str">
        <x:v>PE5-OE3; Reglamento (UE) 2024/1689</x:v>
      </x:c>
      <x:c r="H68" s="16" t="str">
        <x:v>Inteligencia artificial</x:v>
      </x:c>
      <x:c r="I68" s="16" t="str">
        <x:v>Aprobado como requisito PE5; evaluación pendiente</x:v>
      </x:c>
      <x:c r="J68" s="16" t="str">
        <x:v>N/A</x:v>
      </x:c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16" t="str">
        <x:v>RNF-IA-ABA-E02</x:v>
      </x:c>
      <x:c r="B69" s="16" t="str">
        <x:v>RNF</x:v>
      </x:c>
      <x:c r="C69" s="16" t="str">
        <x:v>Equidad por tipo de membresía</x:v>
      </x:c>
      <x:c r="D69" s="16" t="str">
        <x:v>Equipo/usuarios</x:v>
      </x:c>
      <x:c r="E69" s="16" t="str">
        <x:v>La diferencia de tasa de falsos positivos entre membresía mensual y trimestral no deberá superar 5 puntos porcentuales.</x:v>
      </x:c>
      <x:c r="F69" s="16" t="str">
        <x:v>Must</x:v>
      </x:c>
      <x:c r="G69" s="16" t="str">
        <x:v>PE5-OE3</x:v>
      </x:c>
      <x:c r="H69" s="16" t="str">
        <x:v>Inteligencia artificial</x:v>
      </x:c>
      <x:c r="I69" s="16" t="str">
        <x:v>Aprobado como requisito PE5; evaluación pendiente</x:v>
      </x:c>
      <x:c r="J69" s="16" t="str">
        <x:v>N/A</x:v>
      </x:c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16" t="str">
        <x:v>RNF-IA-ABA-X01</x:v>
      </x:c>
      <x:c r="B70" s="16" t="str">
        <x:v>RNF</x:v>
      </x:c>
      <x:c r="C70" s="16" t="str">
        <x:v>Explicabilidad de riesgo</x:v>
      </x:c>
      <x:c r="D70" s="16" t="str">
        <x:v>Equipo/usuarios</x:v>
      </x:c>
      <x:c r="E70" s="16" t="str">
        <x:v>Cada alerta deberá mostrar los dos factores operativos principales, su ventana temporal y una advertencia de que no constituye una decisión definitiva.</x:v>
      </x:c>
      <x:c r="F70" s="16" t="str">
        <x:v>Must</x:v>
      </x:c>
      <x:c r="G70" s="16" t="str">
        <x:v>PE5-OE3</x:v>
      </x:c>
      <x:c r="H70" s="16" t="str">
        <x:v>Inteligencia artificial</x:v>
      </x:c>
      <x:c r="I70" s="16" t="str">
        <x:v>Aprobado como requisito PE5; evaluación pendiente</x:v>
      </x:c>
      <x:c r="J70" s="16" t="str">
        <x:v>N/A</x:v>
      </x:c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mergeCells>
    <x:mergeCell ref="A1:J1"/>
    <x:mergeCell ref="A2:J2"/>
  </x:mergeCells>
  <x:conditionalFormatting sqref="B4:B70">
    <x:cfRule type="containsText" dxfId="1" priority="1" operator="containsText" text="RF"/>
    <x:cfRule type="containsText" dxfId="2" priority="2" operator="containsText" text="RNF"/>
  </x:conditionalFormatting>
  <x:dataValidations count="1">
    <x:dataValidation type="list" sqref="F4:F70">
      <x:formula1>"Must,Should,Could"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8a147565ce45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5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92" t="str">
        <x:v>Matriz de trazabilidad end-to-end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7" t="str">
        <x:v>Fuente -&gt; requisito -&gt; CU -&gt; clase -&gt; DFD -&gt; estado -&gt; BDD -&gt; prueba -&gt; historia.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 ht="30" customHeight="1">
      <x:c r="A3" s="84" t="str">
        <x:v>RF/RNF</x:v>
      </x:c>
      <x:c r="B3" s="84" t="str">
        <x:v>Fuente</x:v>
      </x:c>
      <x:c r="C3" s="84" t="str">
        <x:v>Actor</x:v>
      </x:c>
      <x:c r="D3" s="84" t="str">
        <x:v>CU</x:v>
      </x:c>
      <x:c r="E3" s="84" t="str">
        <x:v>Clase UML</x:v>
      </x:c>
      <x:c r="F3" s="84" t="str">
        <x:v>Proceso DFD</x:v>
      </x:c>
      <x:c r="G3" s="84" t="str">
        <x:v>Estado/transición</x:v>
      </x:c>
      <x:c r="H3" s="84" t="str">
        <x:v>Criterio BDD</x:v>
      </x:c>
      <x:c r="I3" s="84" t="str">
        <x:v>CP</x:v>
      </x:c>
      <x:c r="J3" s="84" t="str">
        <x:v>Historia</x:v>
      </x:c>
      <x:c r="K3" s="84" t="str">
        <x:v>Componente</x:v>
      </x:c>
      <x:c r="L3" s="84" t="str">
        <x:v>Mockup</x:v>
      </x:c>
      <x:c r="M3" s="84" t="str">
        <x:v>Estado requisito</x:v>
      </x:c>
      <x:c r="N3" s="84" t="str">
        <x:v>Estado traza</x:v>
      </x:c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16" t="str">
        <x:v>RF-AUT-01</x:v>
      </x:c>
      <x:c r="B4" s="16" t="str">
        <x:v>EV-ENTR02-07</x:v>
      </x:c>
      <x:c r="C4" s="16" t="str">
        <x:v>Personal autorizado</x:v>
      </x:c>
      <x:c r="D4" s="16" t="str">
        <x:v>CU-01</x:v>
      </x:c>
      <x:c r="E4" s="16" t="str">
        <x:v>Usuario; Rol; Permiso; EventoAuditoria</x:v>
      </x:c>
      <x:c r="F4" s="16" t="str">
        <x:v>P-01 Controlar acceso</x:v>
      </x:c>
      <x:c r="G4" s="16" t="str">
        <x:v>Sesión/permiso</x:v>
      </x:c>
      <x:c r="H4" s="16" t="str">
        <x:v>Dado un usuario con credenciales válidas, cuando inicie sesión, entonces el sistema deberá autenticarlo y habilitar únicamente las opciones permitidas para su rol; cuando cierre sesión, deberá invalidar la sesión activa.</x:v>
      </x:c>
      <x:c r="I4" s="16" t="str">
        <x:v>CP-01</x:v>
      </x:c>
      <x:c r="J4" s="16" t="str">
        <x:v>HU-01</x:v>
      </x:c>
      <x:c r="K4" s="16" t="str">
        <x:v>Acceso y seguridad</x:v>
      </x:c>
      <x:c r="L4" s="16" t="str">
        <x:v>MU-01</x:v>
      </x:c>
      <x:c r="M4" s="16" t="str">
        <x:v>Aprobado en baseline v2.0</x:v>
      </x:c>
      <x:c r="N4" s="16" t="str">
        <x:v>Completa</x:v>
      </x:c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16" t="str">
        <x:v>RF-AUT-02</x:v>
      </x:c>
      <x:c r="B5" s="16" t="str">
        <x:v>EV-ENTR02-07;EV-ENTR03-06;EV-ENTR08-04</x:v>
      </x:c>
      <x:c r="C5" s="16" t="str">
        <x:v>Administrador</x:v>
      </x:c>
      <x:c r="D5" s="16" t="str">
        <x:v>CU-02</x:v>
      </x:c>
      <x:c r="E5" s="16" t="str">
        <x:v>Usuario; Rol; Permiso; EventoAuditoria</x:v>
      </x:c>
      <x:c r="F5" s="16" t="str">
        <x:v>P-01 Controlar acceso</x:v>
      </x:c>
      <x:c r="G5" s="16" t="str">
        <x:v>Sesión/permiso</x:v>
      </x:c>
      <x:c r="H5" s="16" t="str">
        <x:v>Dado un usuario autenticado con un rol definido, cuando intente ejecutar una operación, entonces el sistema deberá permitirla solo si el permiso está asignado a ese rol y deberá denegarla en caso contrario.</x:v>
      </x:c>
      <x:c r="I5" s="16" t="str">
        <x:v>CP-02</x:v>
      </x:c>
      <x:c r="J5" s="16" t="str">
        <x:v>HU-02</x:v>
      </x:c>
      <x:c r="K5" s="16" t="str">
        <x:v>Acceso y seguridad</x:v>
      </x:c>
      <x:c r="L5" s="16" t="str">
        <x:v>MU-22;MU-32</x:v>
      </x:c>
      <x:c r="M5" s="16" t="str">
        <x:v>Aprobado en baseline v2.0</x:v>
      </x:c>
      <x:c r="N5" s="16" t="str">
        <x:v>Completa</x:v>
      </x:c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16" t="str">
        <x:v>RF-AUT-03</x:v>
      </x:c>
      <x:c r="B6" s="16" t="str">
        <x:v>EV-ENTR02-04;EV-ENTR02-07;EV-ENTR03-06</x:v>
      </x:c>
      <x:c r="C6" s="16" t="str">
        <x:v>Administrador</x:v>
      </x:c>
      <x:c r="D6" s="16" t="str">
        <x:v>CU-20</x:v>
      </x:c>
      <x:c r="E6" s="16" t="str">
        <x:v>Usuario; Rol; Permiso; EventoAuditoria</x:v>
      </x:c>
      <x:c r="F6" s="16" t="str">
        <x:v>P-01 Controlar acceso</x:v>
      </x:c>
      <x:c r="G6" s="16" t="str">
        <x:v>Sesión/permiso</x:v>
      </x:c>
      <x:c r="H6" s="16" t="str">
        <x:v>Dado un cambio crítico confirmado, cuando el sistema lo registre, entonces deberá conservar en auditoría el actor, fecha, acción, valor anterior y valor nuevo asociados al cambio.</x:v>
      </x:c>
      <x:c r="I6" s="16" t="str">
        <x:v>CP-20</x:v>
      </x:c>
      <x:c r="J6" s="16" t="str">
        <x:v>HU-20</x:v>
      </x:c>
      <x:c r="K6" s="16" t="str">
        <x:v>Acceso y seguridad</x:v>
      </x:c>
      <x:c r="L6" s="16" t="str">
        <x:v>MU-25</x:v>
      </x:c>
      <x:c r="M6" s="16" t="str">
        <x:v>Aprobado en baseline v2.0</x:v>
      </x:c>
      <x:c r="N6" s="16" t="str">
        <x:v>Completa</x:v>
      </x:c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16" t="str">
        <x:v>RF-CLI-01</x:v>
      </x:c>
      <x:c r="B7" s="16" t="str">
        <x:v>EV-ENTR01-02;EV-ENTR02-02;EV-ENTR03-02;EV-ENTR08-01</x:v>
      </x:c>
      <x:c r="C7" s="16" t="str">
        <x:v>Recepcionista</x:v>
      </x:c>
      <x:c r="D7" s="16" t="str">
        <x:v>CU-03</x:v>
      </x:c>
      <x:c r="E7" s="16" t="str">
        <x:v>Cliente; Membresia; Pago; Asistencia</x:v>
      </x:c>
      <x:c r="F7" s="16" t="str">
        <x:v>P-02 Gestionar clientes</x:v>
      </x:c>
      <x:c r="G7" s="16" t="str">
        <x:v>Cliente</x:v>
      </x:c>
      <x:c r="H7" s="16" t="str">
        <x:v>Dado un formulario con código interno, nombre de uso y al menos un medio de contacto válido, cuando Recepción confirme el registro, entonces el sistema deberá crear un único cliente y no deberá solicitar datos de salud, biometría, dirección domiciliaria ni imagen corporal.</x:v>
      </x:c>
      <x:c r="I7" s="16" t="str">
        <x:v>CP-03</x:v>
      </x:c>
      <x:c r="J7" s="16" t="str">
        <x:v>HU-03</x:v>
      </x:c>
      <x:c r="K7" s="16" t="str">
        <x:v>Clientes</x:v>
      </x:c>
      <x:c r="L7" s="16" t="str">
        <x:v>MU-12*;MU-37*</x:v>
      </x:c>
      <x:c r="M7" s="16" t="str">
        <x:v>Aprobado en baseline v2.0</x:v>
      </x:c>
      <x:c r="N7" s="16" t="str">
        <x:v>Completa</x:v>
      </x:c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16" t="str">
        <x:v>RF-CLI-02</x:v>
      </x:c>
      <x:c r="B8" s="16" t="str">
        <x:v>EV-ENTR02-03;EV-ENTR02-08;EV-ENTR08-05</x:v>
      </x:c>
      <x:c r="C8" s="16" t="str">
        <x:v>Recepcionista</x:v>
      </x:c>
      <x:c r="D8" s="16" t="str">
        <x:v>CU-04</x:v>
      </x:c>
      <x:c r="E8" s="16" t="str">
        <x:v>Cliente; Membresia; Pago; Asistencia</x:v>
      </x:c>
      <x:c r="F8" s="16" t="str">
        <x:v>P-02 Gestionar clientes</x:v>
      </x:c>
      <x:c r="G8" s="16" t="str">
        <x:v>Cliente</x:v>
      </x:c>
      <x:c r="H8" s="16" t="str">
        <x:v>Dado un criterio de búsqueda válido, cuando Recepción consulte un cliente, entonces el sistema deberá devolver las coincidencias y mostrar únicamente membresía, último pago, asistencia y novedades autorizadas por el rol.</x:v>
      </x:c>
      <x:c r="I8" s="16" t="str">
        <x:v>CP-04</x:v>
      </x:c>
      <x:c r="J8" s="16" t="str">
        <x:v>HU-04</x:v>
      </x:c>
      <x:c r="K8" s="16" t="str">
        <x:v>Clientes</x:v>
      </x:c>
      <x:c r="L8" s="16" t="str">
        <x:v>MU-11;MU-36</x:v>
      </x:c>
      <x:c r="M8" s="16" t="str">
        <x:v>Aprobado en baseline v2.0</x:v>
      </x:c>
      <x:c r="N8" s="16" t="str">
        <x:v>Completa</x:v>
      </x:c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16" t="str">
        <x:v>RF-CLI-03</x:v>
      </x:c>
      <x:c r="B9" s="16" t="str">
        <x:v>EV-ENTR02-02;EV-ENTR03-02;EV-ENTR04-01;EV-ENTR05-02</x:v>
      </x:c>
      <x:c r="C9" s="16" t="str">
        <x:v>Recepcionista</x:v>
      </x:c>
      <x:c r="D9" s="16" t="str">
        <x:v>CU-05</x:v>
      </x:c>
      <x:c r="E9" s="16" t="str">
        <x:v>Cliente; Membresia; Pago; Asistencia</x:v>
      </x:c>
      <x:c r="F9" s="16" t="str">
        <x:v>P-02 Gestionar clientes</x:v>
      </x:c>
      <x:c r="G9" s="16" t="str">
        <x:v>Cliente</x:v>
      </x:c>
      <x:c r="H9" s="16" t="str">
        <x:v>Dado que existe un cliente coincidente por código o contacto, cuando Recepción intente registrar o reactivar el perfil, entonces el sistema deberá advertir la coincidencia y permitir actualizar o reactivar el registro existente sin crear un duplicado.</x:v>
      </x:c>
      <x:c r="I9" s="16" t="str">
        <x:v>CP-05</x:v>
      </x:c>
      <x:c r="J9" s="16" t="str">
        <x:v>HU-05</x:v>
      </x:c>
      <x:c r="K9" s="16" t="str">
        <x:v>Clientes</x:v>
      </x:c>
      <x:c r="L9" s="16" t="str">
        <x:v>MU-11;MU-36</x:v>
      </x:c>
      <x:c r="M9" s="16" t="str">
        <x:v>Aprobado en baseline v2.0</x:v>
      </x:c>
      <x:c r="N9" s="16" t="str">
        <x:v>Completa</x:v>
      </x:c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16" t="str">
        <x:v>RF-MEM-01</x:v>
      </x:c>
      <x:c r="B10" s="16" t="str">
        <x:v>EV-ENTR02-01;EV-ENTR04-01</x:v>
      </x:c>
      <x:c r="C10" s="16" t="str">
        <x:v>Administrador</x:v>
      </x:c>
      <x:c r="D10" s="16" t="str">
        <x:v>CU-06</x:v>
      </x:c>
      <x:c r="E10" s="16" t="str">
        <x:v>Membresia; Plan; Promocion</x:v>
      </x:c>
      <x:c r="F10" s="16" t="str">
        <x:v>P-03 Gestionar membresías</x:v>
      </x:c>
      <x:c r="G10" s="16" t="str">
        <x:v>Membresía</x:v>
      </x:c>
      <x:c r="H10" s="16" t="str">
        <x:v>Dado un usuario autorizado y los datos obligatorios de un plan o promoción, cuando guarde la configuración, entonces el sistema deberá conservar nombre, duración, precio, vigencia y estado y deberá mostrar el registro actualizado.</x:v>
      </x:c>
      <x:c r="I10" s="16" t="str">
        <x:v>CP-06</x:v>
      </x:c>
      <x:c r="J10" s="16" t="str">
        <x:v>HU-06</x:v>
      </x:c>
      <x:c r="K10" s="16" t="str">
        <x:v>Membresías</x:v>
      </x:c>
      <x:c r="L10" s="16" t="str">
        <x:v>MU-68</x:v>
      </x:c>
      <x:c r="M10" s="16" t="str">
        <x:v>Aprobado en baseline v2.0</x:v>
      </x:c>
      <x:c r="N10" s="16" t="str">
        <x:v>Completa</x:v>
      </x:c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16" t="str">
        <x:v>RF-MEM-02</x:v>
      </x:c>
      <x:c r="B11" s="16" t="str">
        <x:v>EV-ENTR01-02;EV-ENTR02-04;EV-ENTR03-01;EV-ENTR04-03</x:v>
      </x:c>
      <x:c r="C11" s="16" t="str">
        <x:v>Recepcionista</x:v>
      </x:c>
      <x:c r="D11" s="16" t="str">
        <x:v>CU-07</x:v>
      </x:c>
      <x:c r="E11" s="16" t="str">
        <x:v>Membresia; Plan; Promocion</x:v>
      </x:c>
      <x:c r="F11" s="16" t="str">
        <x:v>P-03 Gestionar membresías</x:v>
      </x:c>
      <x:c r="G11" s="16" t="str">
        <x:v>Membresía</x:v>
      </x:c>
      <x:c r="H11" s="16" t="str">
        <x:v>Dado un plan vigente y un pago confirmado, cuando Recepción active o renueve la membresía, entonces el sistema deberá calcular y guardar las fechas de inicio y vencimiento según la duración del plan.</x:v>
      </x:c>
      <x:c r="I11" s="16" t="str">
        <x:v>CP-07</x:v>
      </x:c>
      <x:c r="J11" s="16" t="str">
        <x:v>HU-07</x:v>
      </x:c>
      <x:c r="K11" s="16" t="str">
        <x:v>Membresías</x:v>
      </x:c>
      <x:c r="L11" s="16" t="str">
        <x:v>MU-14;MU-39</x:v>
      </x:c>
      <x:c r="M11" s="16" t="str">
        <x:v>Aprobado en baseline v2.0</x:v>
      </x:c>
      <x:c r="N11" s="16" t="str">
        <x:v>Completa</x:v>
      </x:c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16" t="str">
        <x:v>RF-MEM-03</x:v>
      </x:c>
      <x:c r="B12" s="16" t="str">
        <x:v>EV-ENTR01-03;EV-ENTR02-03;EV-ENTR03-03;EV-ENTR08-02</x:v>
      </x:c>
      <x:c r="C12" s="16" t="str">
        <x:v>Personal autorizado</x:v>
      </x:c>
      <x:c r="D12" s="16" t="str">
        <x:v>CU-08</x:v>
      </x:c>
      <x:c r="E12" s="16" t="str">
        <x:v>Membresia; Plan; Promocion</x:v>
      </x:c>
      <x:c r="F12" s="16" t="str">
        <x:v>P-03 Gestionar membresías</x:v>
      </x:c>
      <x:c r="G12" s="16" t="str">
        <x:v>Membresía</x:v>
      </x:c>
      <x:c r="H12" s="16" t="str">
        <x:v>Dado un cliente con membresía registrada, cuando un usuario autorizado consulte su vigencia, entonces el sistema deberá mostrar estado, plan, fecha de inicio y fecha de vencimiento de la membresía seleccionada.</x:v>
      </x:c>
      <x:c r="I12" s="16" t="str">
        <x:v>CP-08</x:v>
      </x:c>
      <x:c r="J12" s="16" t="str">
        <x:v>HU-08</x:v>
      </x:c>
      <x:c r="K12" s="16" t="str">
        <x:v>Membresías</x:v>
      </x:c>
      <x:c r="L12" s="16" t="str">
        <x:v>MU-13;MU-38;MU-63(F)</x:v>
      </x:c>
      <x:c r="M12" s="16" t="str">
        <x:v>Aprobado en baseline v2.0</x:v>
      </x:c>
      <x:c r="N12" s="16" t="str">
        <x:v>Completa</x:v>
      </x:c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16" t="str">
        <x:v>RF-MEM-04</x:v>
      </x:c>
      <x:c r="B13" s="16" t="str">
        <x:v>EV-ENTR01-03;EV-ENTR05-02;EV-ENTR07-02</x:v>
      </x:c>
      <x:c r="C13" s="16" t="str">
        <x:v>Recepcionista</x:v>
      </x:c>
      <x:c r="D13" s="16" t="str">
        <x:v>CU-09</x:v>
      </x:c>
      <x:c r="E13" s="16" t="str">
        <x:v>Membresia; Plan; Promocion</x:v>
      </x:c>
      <x:c r="F13" s="16" t="str">
        <x:v>P-03 Gestionar membresías</x:v>
      </x:c>
      <x:c r="G13" s="16" t="str">
        <x:v>Membresía</x:v>
      </x:c>
      <x:c r="H13" s="16" t="str">
        <x:v>Dado que existen membresías próximas a vencer o vencidas, cuando se ejecute la consulta diaria, entonces el sistema deberá separar las que vencen dentro de tres días de las ya vencidas y no deberá enviar mensajes externos de forma automática.</x:v>
      </x:c>
      <x:c r="I13" s="16" t="str">
        <x:v>CP-09</x:v>
      </x:c>
      <x:c r="J13" s="16" t="str">
        <x:v>HU-09</x:v>
      </x:c>
      <x:c r="K13" s="16" t="str">
        <x:v>Membresías</x:v>
      </x:c>
      <x:c r="L13" s="16" t="str">
        <x:v>MU-10;MU-13;MU-38</x:v>
      </x:c>
      <x:c r="M13" s="16" t="str">
        <x:v>Aprobado en baseline v2.0</x:v>
      </x:c>
      <x:c r="N13" s="16" t="str">
        <x:v>Completa</x:v>
      </x:c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16" t="str">
        <x:v>RF-PAG-01</x:v>
      </x:c>
      <x:c r="B14" s="16" t="str">
        <x:v>EV-ENTR01-02;EV-ENTR02-04;EV-ENTR03-04;EV-ENTR07-02;EV-ENTR08-03</x:v>
      </x:c>
      <x:c r="C14" s="16" t="str">
        <x:v>Recepcionista</x:v>
      </x:c>
      <x:c r="D14" s="16" t="str">
        <x:v>CU-10</x:v>
      </x:c>
      <x:c r="E14" s="16" t="str">
        <x:v>Pago; Comprobante; Cliente</x:v>
      </x:c>
      <x:c r="F14" s="16" t="str">
        <x:v>P-04 Gestionar pagos</x:v>
      </x:c>
      <x:c r="G14" s="16" t="str">
        <x:v>Pago</x:v>
      </x:c>
      <x:c r="H14" s="16" t="str">
        <x:v>Dado un pago con monto, concepto, medio, referencia y fecha válidos, cuando Recepción confirme el registro, entonces el sistema deberá guardar el pago y generar un comprobante interno vinculado al cliente.</x:v>
      </x:c>
      <x:c r="I14" s="16" t="str">
        <x:v>CP-10</x:v>
      </x:c>
      <x:c r="J14" s="16" t="str">
        <x:v>HU-10</x:v>
      </x:c>
      <x:c r="K14" s="16" t="str">
        <x:v>Pagos</x:v>
      </x:c>
      <x:c r="L14" s="16" t="str">
        <x:v>MU-15;MU-16;MU-40;MU-41</x:v>
      </x:c>
      <x:c r="M14" s="16" t="str">
        <x:v>Aprobado en baseline v2.0</x:v>
      </x:c>
      <x:c r="N14" s="16" t="str">
        <x:v>Completa</x:v>
      </x:c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16" t="str">
        <x:v>RF-PAG-02</x:v>
      </x:c>
      <x:c r="B15" s="16" t="str">
        <x:v>EV-ENTR02-04;EV-ENTR03-04;EV-ENTR07-07</x:v>
      </x:c>
      <x:c r="C15" s="16" t="str">
        <x:v>Administrador</x:v>
      </x:c>
      <x:c r="D15" s="16" t="str">
        <x:v>CU-21</x:v>
      </x:c>
      <x:c r="E15" s="16" t="str">
        <x:v>Pago; Comprobante; Cliente</x:v>
      </x:c>
      <x:c r="F15" s="16" t="str">
        <x:v>P-04 Gestionar pagos</x:v>
      </x:c>
      <x:c r="G15" s="16" t="str">
        <x:v>Pago</x:v>
      </x:c>
      <x:c r="H15" s="16" t="str">
        <x:v>Dado un pago con estado pendiente, cuando un Administrador lo confirme, rechace o corrija, entonces el sistema deberá actualizar el estado y conservar el motivo y la evidencia de auditoría de la decisión.</x:v>
      </x:c>
      <x:c r="I15" s="16" t="str">
        <x:v>CP-21</x:v>
      </x:c>
      <x:c r="J15" s="16" t="str">
        <x:v>HU-21</x:v>
      </x:c>
      <x:c r="K15" s="16" t="str">
        <x:v>Pagos</x:v>
      </x:c>
      <x:c r="L15" s="16" t="str">
        <x:v>MU-15;MU-40</x:v>
      </x:c>
      <x:c r="M15" s="16" t="str">
        <x:v>Aprobado en baseline v2.0</x:v>
      </x:c>
      <x:c r="N15" s="16" t="str">
        <x:v>Completa</x:v>
      </x:c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16" t="str">
        <x:v>RF-ASI-01</x:v>
      </x:c>
      <x:c r="B16" s="16" t="str">
        <x:v>EV-ENTR02-03;EV-ENTR03-03;EV-ENTR04-02;EV-ENTR07-07;EV-ENTR08-02</x:v>
      </x:c>
      <x:c r="C16" s="16" t="str">
        <x:v>Recepcionista</x:v>
      </x:c>
      <x:c r="D16" s="16" t="str">
        <x:v>CU-11</x:v>
      </x:c>
      <x:c r="E16" s="16" t="str">
        <x:v>Asistencia; Cliente; Turno</x:v>
      </x:c>
      <x:c r="F16" s="16" t="str">
        <x:v>P-05 Controlar asistencia</x:v>
      </x:c>
      <x:c r="G16" s="16" t="str">
        <x:v>Asistencia</x:v>
      </x:c>
      <x:c r="H16" s="16" t="str">
        <x:v>Dado un cliente identificado, cuando Recepción registre la asistencia por QR, entonces el sistema deberá guardar fecha, hora y método QR; si se utiliza contingencia manual, deberá exigir responsable y motivo.</x:v>
      </x:c>
      <x:c r="I16" s="16" t="str">
        <x:v>CP-11</x:v>
      </x:c>
      <x:c r="J16" s="16" t="str">
        <x:v>HU-11</x:v>
      </x:c>
      <x:c r="K16" s="16" t="str">
        <x:v>Asistencias</x:v>
      </x:c>
      <x:c r="L16" s="16" t="str">
        <x:v>MU-20;MU-30*;MU-46;MU-47*</x:v>
      </x:c>
      <x:c r="M16" s="16" t="str">
        <x:v>Aprobado en baseline v2.0</x:v>
      </x:c>
      <x:c r="N16" s="16" t="str">
        <x:v>Completa</x:v>
      </x:c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16" t="str">
        <x:v>RF-ASI-02</x:v>
      </x:c>
      <x:c r="B17" s="16" t="str">
        <x:v>EV-ENTR03-01;EV-ENTR07-01;EV-ENTR08-05;EV-ENTR09-06</x:v>
      </x:c>
      <x:c r="C17" s="16" t="str">
        <x:v>Personal autorizado</x:v>
      </x:c>
      <x:c r="D17" s="16" t="str">
        <x:v>CU-12</x:v>
      </x:c>
      <x:c r="E17" s="16" t="str">
        <x:v>Asistencia; Cliente; Turno</x:v>
      </x:c>
      <x:c r="F17" s="16" t="str">
        <x:v>P-05 Controlar asistencia</x:v>
      </x:c>
      <x:c r="G17" s="16" t="str">
        <x:v>Asistencia</x:v>
      </x:c>
      <x:c r="H17" s="16" t="str">
        <x:v>Dado un filtro por cliente, fecha o turno, cuando un usuario autorizado consulte asistencias, entonces el sistema deberá mostrar únicamente los registros que cumplan el filtro y los conteos correspondientes.</x:v>
      </x:c>
      <x:c r="I17" s="16" t="str">
        <x:v>CP-12</x:v>
      </x:c>
      <x:c r="J17" s="16" t="str">
        <x:v>HU-12</x:v>
      </x:c>
      <x:c r="K17" s="16" t="str">
        <x:v>Asistencias</x:v>
      </x:c>
      <x:c r="L17" s="16" t="str">
        <x:v>MU-20;MU-46;MU-56;MU-65(F)</x:v>
      </x:c>
      <x:c r="M17" s="16" t="str">
        <x:v>Aprobado en baseline v2.0</x:v>
      </x:c>
      <x:c r="N17" s="16" t="str">
        <x:v>Completa</x:v>
      </x:c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16" t="str">
        <x:v>RF-INV-01</x:v>
      </x:c>
      <x:c r="B18" s="16" t="str">
        <x:v>EV-ENTR01-01;EV-ENTR02-05</x:v>
      </x:c>
      <x:c r="C18" s="16" t="str">
        <x:v>Administrador</x:v>
      </x:c>
      <x:c r="D18" s="16" t="str">
        <x:v>CU-13</x:v>
      </x:c>
      <x:c r="E18" s="16" t="str">
        <x:v>Producto; Categoria; Proveedor; MovimientoStock</x:v>
      </x:c>
      <x:c r="F18" s="16" t="str">
        <x:v>P-06 Gestionar inventario</x:v>
      </x:c>
      <x:c r="G18" s="16" t="str">
        <x:v>Producto/stock</x:v>
      </x:c>
      <x:c r="H18" s="16" t="str">
        <x:v>Dado un producto con código, nombre, precio, unidad, stock mínimo y estado válidos, cuando el Administrador confirme el registro, entonces el sistema deberá guardar el producto y permitir su consulta posterior.</x:v>
      </x:c>
      <x:c r="I18" s="16" t="str">
        <x:v>CP-13</x:v>
      </x:c>
      <x:c r="J18" s="16" t="str">
        <x:v>HU-13</x:v>
      </x:c>
      <x:c r="K18" s="16" t="str">
        <x:v>Inventario</x:v>
      </x:c>
      <x:c r="L18" s="16" t="str">
        <x:v>MU-19;MU-28;MU-44*;MU-45*</x:v>
      </x:c>
      <x:c r="M18" s="16" t="str">
        <x:v>Aprobado en baseline v2.0</x:v>
      </x:c>
      <x:c r="N18" s="16" t="str">
        <x:v>Completa</x:v>
      </x:c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16" t="str">
        <x:v>RF-INV-02</x:v>
      </x:c>
      <x:c r="B19" s="16" t="str">
        <x:v>EV-ENTR01-04;EV-ENTR04-04;EV-ENTR07-03</x:v>
      </x:c>
      <x:c r="C19" s="16" t="str">
        <x:v>Personal autorizado</x:v>
      </x:c>
      <x:c r="D19" s="16" t="str">
        <x:v>CU-14</x:v>
      </x:c>
      <x:c r="E19" s="16" t="str">
        <x:v>Producto; Categoria; Proveedor; MovimientoStock</x:v>
      </x:c>
      <x:c r="F19" s="16" t="str">
        <x:v>P-06 Gestionar inventario</x:v>
      </x:c>
      <x:c r="G19" s="16" t="str">
        <x:v>Producto/stock</x:v>
      </x:c>
      <x:c r="H19" s="16" t="str">
        <x:v>Dado un producto existente y un movimiento válido, cuando un usuario autorizado registre una entrada o ajuste, entonces el sistema deberá actualizar el saldo y conservar cantidad, motivo, responsable y saldo resultante.</x:v>
      </x:c>
      <x:c r="I19" s="16" t="str">
        <x:v>CP-14</x:v>
      </x:c>
      <x:c r="J19" s="16" t="str">
        <x:v>HU-14</x:v>
      </x:c>
      <x:c r="K19" s="16" t="str">
        <x:v>Inventario</x:v>
      </x:c>
      <x:c r="L19" s="16" t="str">
        <x:v>MU-69</x:v>
      </x:c>
      <x:c r="M19" s="16" t="str">
        <x:v>Aprobado en baseline v2.0</x:v>
      </x:c>
      <x:c r="N19" s="16" t="str">
        <x:v>Completa</x:v>
      </x:c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16" t="str">
        <x:v>RF-VEN-01</x:v>
      </x:c>
      <x:c r="B20" s="16" t="str">
        <x:v>EV-ENTR02-05;EV-ENTR03-01;EV-ENTR04-04;EV-ENTR07-03;EV-ENTR08-03</x:v>
      </x:c>
      <x:c r="C20" s="16" t="str">
        <x:v>Recepcionista</x:v>
      </x:c>
      <x:c r="D20" s="16" t="str">
        <x:v>CU-15</x:v>
      </x:c>
      <x:c r="E20" s="16" t="str">
        <x:v>Venta; DetalleVenta; Producto; Pago</x:v>
      </x:c>
      <x:c r="F20" s="16" t="str">
        <x:v>P-07 Registrar ventas</x:v>
      </x:c>
      <x:c r="G20" s="16" t="str">
        <x:v>Venta</x:v>
      </x:c>
      <x:c r="H20" s="16" t="str">
        <x:v>Dado que todos los ítems de una venta tienen stock suficiente, cuando Recepción confirme la venta, entonces el sistema deberá registrar la venta y descontar las existencias en una única transacción; si falla una operación, no deberá aplicar cambios parciales.</x:v>
      </x:c>
      <x:c r="I20" s="16" t="str">
        <x:v>CP-15</x:v>
      </x:c>
      <x:c r="J20" s="16" t="str">
        <x:v>HU-15</x:v>
      </x:c>
      <x:c r="K20" s="16" t="str">
        <x:v>Ventas</x:v>
      </x:c>
      <x:c r="L20" s="16" t="str">
        <x:v>MU-18;MU-27;MU-42;MU-43</x:v>
      </x:c>
      <x:c r="M20" s="16" t="str">
        <x:v>Aprobado en baseline v2.0</x:v>
      </x:c>
      <x:c r="N20" s="16" t="str">
        <x:v>Completa</x:v>
      </x:c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16" t="str">
        <x:v>RF-INV-03</x:v>
      </x:c>
      <x:c r="B21" s="16" t="str">
        <x:v>EV-ENTR01-04;EV-ENTR02-05;EV-ENTR05-04;EV-ENTR06-04</x:v>
      </x:c>
      <x:c r="C21" s="16" t="str">
        <x:v>Administrador</x:v>
      </x:c>
      <x:c r="D21" s="16" t="str">
        <x:v>CU-22</x:v>
      </x:c>
      <x:c r="E21" s="16" t="str">
        <x:v>Producto; Categoria; Proveedor; MovimientoStock</x:v>
      </x:c>
      <x:c r="F21" s="16" t="str">
        <x:v>P-06 Gestionar inventario</x:v>
      </x:c>
      <x:c r="G21" s="16" t="str">
        <x:v>Producto/stock</x:v>
      </x:c>
      <x:c r="H21" s="16" t="str">
        <x:v>Dado un período de consulta, cuando el Administrador solicite el control de stock, entonces el sistema deberá listar los productos con stock igual o inferior al mínimo y resumir entradas, salidas y ventas del período.</x:v>
      </x:c>
      <x:c r="I21" s="16" t="str">
        <x:v>CP-22</x:v>
      </x:c>
      <x:c r="J21" s="16" t="str">
        <x:v>HU-22</x:v>
      </x:c>
      <x:c r="K21" s="16" t="str">
        <x:v>Inventario</x:v>
      </x:c>
      <x:c r="L21" s="16" t="str">
        <x:v>MU-10;MU-19;MU-44*</x:v>
      </x:c>
      <x:c r="M21" s="16" t="str">
        <x:v>Aprobado en baseline v2.0</x:v>
      </x:c>
      <x:c r="N21" s="16" t="str">
        <x:v>Completa</x:v>
      </x:c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16" t="str">
        <x:v>RF-CAJ-01</x:v>
      </x:c>
      <x:c r="B22" s="16" t="str">
        <x:v>EV-ENTR02-01;EV-ENTR02-06;EV-ENTR03-05;EV-ENTR04-05;EV-ENTR07-03;EV-ENTR08-04</x:v>
      </x:c>
      <x:c r="C22" s="16" t="str">
        <x:v>Recepcionista</x:v>
      </x:c>
      <x:c r="D22" s="16" t="str">
        <x:v>CU-16</x:v>
      </x:c>
      <x:c r="E22" s="16" t="str">
        <x:v>Caja; Turno; Venta; Pago</x:v>
      </x:c>
      <x:c r="F22" s="16" t="str">
        <x:v>P-08 Conciliar caja</x:v>
      </x:c>
      <x:c r="G22" s="16" t="str">
        <x:v>Turno de caja</x:v>
      </x:c>
      <x:c r="H22" s="16" t="str">
        <x:v>Dado un turno con pagos y ventas registrados, cuando Recepción ejecute el cierre, entonces el sistema deberá totalizar por medio de pago, comparar contra los valores declarados y registrar cualquier diferencia junto con la entrega del turno.</x:v>
      </x:c>
      <x:c r="I22" s="16" t="str">
        <x:v>CP-16</x:v>
      </x:c>
      <x:c r="J22" s="16" t="str">
        <x:v>HU-16</x:v>
      </x:c>
      <x:c r="K22" s="16" t="str">
        <x:v>Caja</x:v>
      </x:c>
      <x:c r="L22" s="16" t="str">
        <x:v>MU-70</x:v>
      </x:c>
      <x:c r="M22" s="16" t="str">
        <x:v>Aprobado en baseline v2.0</x:v>
      </x:c>
      <x:c r="N22" s="16" t="str">
        <x:v>Completa</x:v>
      </x:c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16" t="str">
        <x:v>RF-NOV-01</x:v>
      </x:c>
      <x:c r="B23" s="16" t="str">
        <x:v>EV-ENTR02-01;EV-ENTR02-08;EV-ENTR03-07;EV-ENTR04-06;EV-ENTR05-01</x:v>
      </x:c>
      <x:c r="C23" s="16" t="str">
        <x:v>Personal autorizado</x:v>
      </x:c>
      <x:c r="D23" s="16" t="str">
        <x:v>CU-17</x:v>
      </x:c>
      <x:c r="E23" s="16" t="str">
        <x:v>Novedad; Usuario</x:v>
      </x:c>
      <x:c r="F23" s="16" t="str">
        <x:v>P-09 Gestionar novedades</x:v>
      </x:c>
      <x:c r="G23" s="16" t="str">
        <x:v>Novedad</x:v>
      </x:c>
      <x:c r="H23" s="16" t="str">
        <x:v>Dado un usuario autorizado y una novedad con categoría, detalle, responsable y vencimiento, cuando la registre, entonces el sistema deberá crearla con un estado válido y conservar los cambios posteriores de estado.</x:v>
      </x:c>
      <x:c r="I23" s="16" t="str">
        <x:v>CP-17</x:v>
      </x:c>
      <x:c r="J23" s="16" t="str">
        <x:v>HU-17</x:v>
      </x:c>
      <x:c r="K23" s="16" t="str">
        <x:v>Novedades</x:v>
      </x:c>
      <x:c r="L23" s="16" t="str">
        <x:v>MU-21;MU-31*;MU-50;MU-51*;MU-61</x:v>
      </x:c>
      <x:c r="M23" s="16" t="str">
        <x:v>Aprobado en baseline v2.0</x:v>
      </x:c>
      <x:c r="N23" s="16" t="str">
        <x:v>Completa</x:v>
      </x:c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16" t="str">
        <x:v>RF-INS-01</x:v>
      </x:c>
      <x:c r="B24" s="16" t="str">
        <x:v>EV-ENTR07-06;EV-ENTR09-03;EV-ENTR10-02</x:v>
      </x:c>
      <x:c r="C24" s="16" t="str">
        <x:v>Administrador</x:v>
      </x:c>
      <x:c r="D24" s="16" t="str">
        <x:v>CU-23</x:v>
      </x:c>
      <x:c r="E24" s="16" t="str">
        <x:v>Instructor; Horario; Cliente</x:v>
      </x:c>
      <x:c r="F24" s="16" t="str">
        <x:v>P-10 Gestionar instructores</x:v>
      </x:c>
      <x:c r="G24" s="16" t="str">
        <x:v>Horario</x:v>
      </x:c>
      <x:c r="H24" s="16" t="str">
        <x:v>Dado un instructor registrado, cuando el Administrador actualice su operación, entonces el sistema deberá guardar turnos, capacidad, disponibilidad y novedades operativas sin solicitar datos de salud.</x:v>
      </x:c>
      <x:c r="I24" s="16" t="str">
        <x:v>CP-23</x:v>
      </x:c>
      <x:c r="J24" s="16" t="str">
        <x:v>HU-23</x:v>
      </x:c>
      <x:c r="K24" s="16" t="str">
        <x:v>Instructores</x:v>
      </x:c>
      <x:c r="L24" s="16" t="str">
        <x:v>MU-23;MU-33;MU-48*;MU-49*;MU-58</x:v>
      </x:c>
      <x:c r="M24" s="16" t="str">
        <x:v>Aprobado en baseline v2.0</x:v>
      </x:c>
      <x:c r="N24" s="16" t="str">
        <x:v>Completa</x:v>
      </x:c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16" t="str">
        <x:v>RF-RUT-01</x:v>
      </x:c>
      <x:c r="B25" s="16" t="str">
        <x:v>EV-ENTR01-05;EV-ENTR05-04;EV-ENTR09-01;EV-ENTR09-02;EV-ENTR09-03</x:v>
      </x:c>
      <x:c r="C25" s="16" t="str">
        <x:v>Instructor</x:v>
      </x:c>
      <x:c r="D25" s="16" t="str">
        <x:v>CU-18</x:v>
      </x:c>
      <x:c r="E25" s="16" t="str">
        <x:v>Rutina; VersionRutina; Ejercicio; Cliente; Instructor</x:v>
      </x:c>
      <x:c r="F25" s="16" t="str">
        <x:v>P-11 Gestionar rutinas</x:v>
      </x:c>
      <x:c r="G25" s="16" t="str">
        <x:v>Rutina</x:v>
      </x:c>
      <x:c r="H25" s="16" t="str">
        <x:v>Dado un cliente autorizado y un catálogo de ejercicios disponible, cuando el Instructor cree una rutina, entonces el sistema deberá guardar objetivo operativo, ejercicios, series, repeticiones, descanso y días, y deberá asignarla al cliente seleccionado.</x:v>
      </x:c>
      <x:c r="I25" s="16" t="str">
        <x:v>CP-18</x:v>
      </x:c>
      <x:c r="J25" s="16" t="str">
        <x:v>HU-18</x:v>
      </x:c>
      <x:c r="K25" s="16" t="str">
        <x:v>Rutinas</x:v>
      </x:c>
      <x:c r="L25" s="16" t="str">
        <x:v>MU-17*;MU-29*;MU-54;MU-55;MU-64(F)</x:v>
      </x:c>
      <x:c r="M25" s="16" t="str">
        <x:v>Aprobado en baseline v2.0</x:v>
      </x:c>
      <x:c r="N25" s="16" t="str">
        <x:v>Completa</x:v>
      </x:c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16" t="str">
        <x:v>RF-RUT-02</x:v>
      </x:c>
      <x:c r="B26" s="16" t="str">
        <x:v>EV-ENTR01-05;EV-ENTR09-01;EV-ENTR09-04;EV-ENTR10-01;EV-ENTR10-03</x:v>
      </x:c>
      <x:c r="C26" s="16" t="str">
        <x:v>Instructor</x:v>
      </x:c>
      <x:c r="D26" s="16" t="str">
        <x:v>CU-19</x:v>
      </x:c>
      <x:c r="E26" s="16" t="str">
        <x:v>Rutina; VersionRutina; Ejercicio; Cliente; Instructor</x:v>
      </x:c>
      <x:c r="F26" s="16" t="str">
        <x:v>P-11 Gestionar rutinas</x:v>
      </x:c>
      <x:c r="G26" s="16" t="str">
        <x:v>Rutina</x:v>
      </x:c>
      <x:c r="H26" s="16" t="str">
        <x:v>Dado una rutina existente, cuando el Instructor modifique ejercicios o parámetros y confirme el cambio, entonces el sistema deberá crear una nueva versión y mantener las versiones anteriores en solo lectura.</x:v>
      </x:c>
      <x:c r="I26" s="16" t="str">
        <x:v>CP-19</x:v>
      </x:c>
      <x:c r="J26" s="16" t="str">
        <x:v>HU-19</x:v>
      </x:c>
      <x:c r="K26" s="16" t="str">
        <x:v>Rutinas</x:v>
      </x:c>
      <x:c r="L26" s="16" t="str">
        <x:v>MU-17*;MU-54</x:v>
      </x:c>
      <x:c r="M26" s="16" t="str">
        <x:v>Aprobado en baseline v2.0</x:v>
      </x:c>
      <x:c r="N26" s="16" t="str">
        <x:v>Completa</x:v>
      </x:c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16" t="str">
        <x:v>RF-RUT-03</x:v>
      </x:c>
      <x:c r="B27" s="16" t="str">
        <x:v>EV-ENTR09-04;EV-ENTR09-05;EV-ENTR09-06;EV-ENTR10-03;EV-ENTR10-04</x:v>
      </x:c>
      <x:c r="C27" s="16" t="str">
        <x:v>Instructor</x:v>
      </x:c>
      <x:c r="D27" s="16" t="str">
        <x:v>CU-24</x:v>
      </x:c>
      <x:c r="E27" s="16" t="str">
        <x:v>Rutina; VersionRutina; Ejercicio; Cliente; Instructor</x:v>
      </x:c>
      <x:c r="F27" s="16" t="str">
        <x:v>P-11 Gestionar rutinas</x:v>
      </x:c>
      <x:c r="G27" s="16" t="str">
        <x:v>Rutina</x:v>
      </x:c>
      <x:c r="H27" s="16" t="str">
        <x:v>Dado una rutina activa, cuando el Instructor registre seguimiento, entonces el sistema deberá guardar fecha, cumplimiento, repeticiones y observación operativa y deberá rechazar campos destinados a diagnósticos, lesiones, peso o medidas corporales reales.</x:v>
      </x:c>
      <x:c r="I27" s="16" t="str">
        <x:v>CP-24</x:v>
      </x:c>
      <x:c r="J27" s="16" t="str">
        <x:v>HU-24</x:v>
      </x:c>
      <x:c r="K27" s="16" t="str">
        <x:v>Rutinas</x:v>
      </x:c>
      <x:c r="L27" s="16" t="str">
        <x:v>MU-59;MU-60*</x:v>
      </x:c>
      <x:c r="M27" s="16" t="str">
        <x:v>Aprobado en baseline v2.0</x:v>
      </x:c>
      <x:c r="N27" s="16" t="str">
        <x:v>Completa</x:v>
      </x:c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16" t="str">
        <x:v>RF-REP-01</x:v>
      </x:c>
      <x:c r="B28" s="16" t="str">
        <x:v>EV-ENTR01-05;EV-ENTR05-05;EV-ENTR06-04;EV-ENTR07-04;EV-ENTR08-05;EV-ENTR09-05</x:v>
      </x:c>
      <x:c r="C28" s="16" t="str">
        <x:v>Administrador</x:v>
      </x:c>
      <x:c r="D28" s="16" t="str">
        <x:v>CU-25</x:v>
      </x:c>
      <x:c r="E28" s="16" t="str">
        <x:v>Reporte; Indicador; Filtro</x:v>
      </x:c>
      <x:c r="F28" s="16" t="str">
        <x:v>P-12 Generar reportes</x:v>
      </x:c>
      <x:c r="G28" s="16" t="str">
        <x:v>N/A (consulta)</x:v>
      </x:c>
      <x:c r="H28" s="16" t="str">
        <x:v>Dado un período y filtros válidos, cuando el Administrador consulte el panel o reporte, entonces el sistema deberá calcular los indicadores con datos almacenados, mostrar los resultados filtrados y permitir exportarlos a CSV.</x:v>
      </x:c>
      <x:c r="I28" s="16" t="str">
        <x:v>CP-25</x:v>
      </x:c>
      <x:c r="J28" s="16" t="str">
        <x:v>HU-25</x:v>
      </x:c>
      <x:c r="K28" s="16" t="str">
        <x:v>Reportes</x:v>
      </x:c>
      <x:c r="L28" s="16" t="str">
        <x:v>MU-10;MU-24;MU-34</x:v>
      </x:c>
      <x:c r="M28" s="16" t="str">
        <x:v>Aprobado en baseline v2.0</x:v>
      </x:c>
      <x:c r="N28" s="16" t="str">
        <x:v>Completa</x:v>
      </x:c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16" t="str">
        <x:v>RF-MEM-05</x:v>
      </x:c>
      <x:c r="B29" s="16" t="str">
        <x:v>EV-VT-T02-12; MU-63</x:v>
      </x:c>
      <x:c r="C29" s="16" t="str">
        <x:v>Cliente</x:v>
      </x:c>
      <x:c r="D29" s="16" t="str">
        <x:v>CU-26</x:v>
      </x:c>
      <x:c r="E29" s="16" t="str">
        <x:v>Membresia; Plan; Promocion</x:v>
      </x:c>
      <x:c r="F29" s="16" t="str">
        <x:v>P-03 Gestionar membresías</x:v>
      </x:c>
      <x:c r="G29" s="16" t="str">
        <x:v>Membresía</x:v>
      </x:c>
      <x:c r="H29" s="16" t="str">
        <x:v>Dado un Cliente autenticado, cuando consulte su membresía, entonces el sistema deberá mostrar únicamente el estado, plan y vigencia de su propia membresía y no deberá habilitar edición.</x:v>
      </x:c>
      <x:c r="I29" s="16" t="str">
        <x:v>CP-26</x:v>
      </x:c>
      <x:c r="J29" s="16" t="str">
        <x:v>HU-26</x:v>
      </x:c>
      <x:c r="K29" s="16" t="str">
        <x:v>Membresías</x:v>
      </x:c>
      <x:c r="L29" s="16" t="str">
        <x:v>V7 / modelo conceptual</x:v>
      </x:c>
      <x:c r="M29" s="16" t="str">
        <x:v>Aprobado en baseline v2.0</x:v>
      </x:c>
      <x:c r="N29" s="16" t="str">
        <x:v>Completa</x:v>
      </x:c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16" t="str">
        <x:v>RF-PAG-03</x:v>
      </x:c>
      <x:c r="B30" s="16" t="str">
        <x:v>EV-VT-T02-12</x:v>
      </x:c>
      <x:c r="C30" s="16" t="str">
        <x:v>Cliente</x:v>
      </x:c>
      <x:c r="D30" s="16" t="str">
        <x:v>CU-27</x:v>
      </x:c>
      <x:c r="E30" s="16" t="str">
        <x:v>Pago; Comprobante; Cliente</x:v>
      </x:c>
      <x:c r="F30" s="16" t="str">
        <x:v>P-04 Gestionar pagos</x:v>
      </x:c>
      <x:c r="G30" s="16" t="str">
        <x:v>Pago</x:v>
      </x:c>
      <x:c r="H30" s="16" t="str">
        <x:v>Dado un Cliente autenticado, cuando consulte sus pagos, entonces el sistema deberá mostrar únicamente sus registros de pago y el estado de cada uno en modo de solo lectura.</x:v>
      </x:c>
      <x:c r="I30" s="16" t="str">
        <x:v>CP-27</x:v>
      </x:c>
      <x:c r="J30" s="16" t="str">
        <x:v>HU-27</x:v>
      </x:c>
      <x:c r="K30" s="16" t="str">
        <x:v>Pagos</x:v>
      </x:c>
      <x:c r="L30" s="16" t="str">
        <x:v>V7 / modelo conceptual</x:v>
      </x:c>
      <x:c r="M30" s="16" t="str">
        <x:v>Aprobado en baseline v2.0</x:v>
      </x:c>
      <x:c r="N30" s="16" t="str">
        <x:v>Completa</x:v>
      </x:c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16" t="str">
        <x:v>RF-RUT-04</x:v>
      </x:c>
      <x:c r="B31" s="16" t="str">
        <x:v>EV-VT-T01-06; EV-VT-T01-08; EV-VT-T02-04</x:v>
      </x:c>
      <x:c r="C31" s="16" t="str">
        <x:v>Cliente</x:v>
      </x:c>
      <x:c r="D31" s="16" t="str">
        <x:v>CU-28</x:v>
      </x:c>
      <x:c r="E31" s="16" t="str">
        <x:v>Rutina; VersionRutina; Ejercicio; Cliente; Instructor</x:v>
      </x:c>
      <x:c r="F31" s="16" t="str">
        <x:v>P-11 Gestionar rutinas</x:v>
      </x:c>
      <x:c r="G31" s="16" t="str">
        <x:v>Rutina</x:v>
      </x:c>
      <x:c r="H31" s="16" t="str">
        <x:v>Dado un Cliente autenticado con una rutina asignada, cuando consulte su rutina, entonces el sistema deberá mostrar la versión activa, las versiones históricas y el seguimiento autorizado sin permitir modificar la rutina vigente.</x:v>
      </x:c>
      <x:c r="I31" s="16" t="str">
        <x:v>CP-28</x:v>
      </x:c>
      <x:c r="J31" s="16" t="str">
        <x:v>HU-28</x:v>
      </x:c>
      <x:c r="K31" s="16" t="str">
        <x:v>Rutinas</x:v>
      </x:c>
      <x:c r="L31" s="16" t="str">
        <x:v>V7 / modelo conceptual</x:v>
      </x:c>
      <x:c r="M31" s="16" t="str">
        <x:v>Aprobado en baseline v2.0</x:v>
      </x:c>
      <x:c r="N31" s="16" t="str">
        <x:v>Completa</x:v>
      </x:c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16" t="str">
        <x:v>RF-INV-04</x:v>
      </x:c>
      <x:c r="B32" s="16" t="str">
        <x:v>EV-VT-T03-06</x:v>
      </x:c>
      <x:c r="C32" s="16" t="str">
        <x:v>Dueño</x:v>
      </x:c>
      <x:c r="D32" s="16" t="str">
        <x:v>CU-29</x:v>
      </x:c>
      <x:c r="E32" s="16" t="str">
        <x:v>Producto; Categoria; Proveedor; MovimientoStock</x:v>
      </x:c>
      <x:c r="F32" s="16" t="str">
        <x:v>P-06 Gestionar inventario</x:v>
      </x:c>
      <x:c r="G32" s="16" t="str">
        <x:v>Producto/stock</x:v>
      </x:c>
      <x:c r="H32" s="16" t="str">
        <x:v>Dado un usuario autorizado, cuando registre, edite o desactive una categoría, entonces el sistema deberá guardar el cambio y reflejar el estado actualizado en las consultas de categorías.</x:v>
      </x:c>
      <x:c r="I32" s="16" t="str">
        <x:v>CP-29</x:v>
      </x:c>
      <x:c r="J32" s="16" t="str">
        <x:v>HU-29</x:v>
      </x:c>
      <x:c r="K32" s="16" t="str">
        <x:v>Inventario</x:v>
      </x:c>
      <x:c r="L32" s="16" t="str">
        <x:v>V7 / modelo conceptual</x:v>
      </x:c>
      <x:c r="M32" s="16" t="str">
        <x:v>Aprobado en baseline v2.0</x:v>
      </x:c>
      <x:c r="N32" s="16" t="str">
        <x:v>Completa</x:v>
      </x:c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16" t="str">
        <x:v>RF-INV-05</x:v>
      </x:c>
      <x:c r="B33" s="16" t="str">
        <x:v>EV-VT-T03-06; EV-VT-T01-10</x:v>
      </x:c>
      <x:c r="C33" s="16" t="str">
        <x:v>Dueño</x:v>
      </x:c>
      <x:c r="D33" s="16" t="str">
        <x:v>CU-30</x:v>
      </x:c>
      <x:c r="E33" s="16" t="str">
        <x:v>Producto; Categoria; Proveedor; MovimientoStock</x:v>
      </x:c>
      <x:c r="F33" s="16" t="str">
        <x:v>P-06 Gestionar inventario</x:v>
      </x:c>
      <x:c r="G33" s="16" t="str">
        <x:v>Producto/stock</x:v>
      </x:c>
      <x:c r="H33" s="16" t="str">
        <x:v>Dado un usuario autorizado, cuando registre, edite o desactive un proveedor, entonces el sistema deberá guardar el cambio y reflejar el estado actualizado en las consultas de proveedores.</x:v>
      </x:c>
      <x:c r="I33" s="16" t="str">
        <x:v>CP-30</x:v>
      </x:c>
      <x:c r="J33" s="16" t="str">
        <x:v>HU-30</x:v>
      </x:c>
      <x:c r="K33" s="16" t="str">
        <x:v>Inventario</x:v>
      </x:c>
      <x:c r="L33" s="16" t="str">
        <x:v>V7 / modelo conceptual</x:v>
      </x:c>
      <x:c r="M33" s="16" t="str">
        <x:v>Aprobado en baseline v2.0</x:v>
      </x:c>
      <x:c r="N33" s="16" t="str">
        <x:v>Completa</x:v>
      </x:c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16" t="str">
        <x:v>RF-CFG-01</x:v>
      </x:c>
      <x:c r="B34" s="16" t="str">
        <x:v>EV-VT-T03-05</x:v>
      </x:c>
      <x:c r="C34" s="16" t="str">
        <x:v>Dueño</x:v>
      </x:c>
      <x:c r="D34" s="16" t="str">
        <x:v>CU-31</x:v>
      </x:c>
      <x:c r="E34" s="16" t="str">
        <x:v>Configuracion; HorarioAtencion; Producto</x:v>
      </x:c>
      <x:c r="F34" s="16" t="str">
        <x:v>P-13 Configurar operación</x:v>
      </x:c>
      <x:c r="G34" s="16" t="str">
        <x:v>Configuración</x:v>
      </x:c>
      <x:c r="H34" s="16" t="str">
        <x:v>Dado un porcentaje de IVA válido y la configuración tributaria de un producto, cuando el Dueño confirme el cambio, entonces el sistema deberá aplicar la nueva configuración a operaciones posteriores y conservar el valor anterior, el nuevo valor, el actor y la fecha.</x:v>
      </x:c>
      <x:c r="I34" s="16" t="str">
        <x:v>CP-31</x:v>
      </x:c>
      <x:c r="J34" s="16" t="str">
        <x:v>HU-31</x:v>
      </x:c>
      <x:c r="K34" s="16" t="str">
        <x:v>Configuración</x:v>
      </x:c>
      <x:c r="L34" s="16" t="str">
        <x:v>V7 / modelo conceptual</x:v>
      </x:c>
      <x:c r="M34" s="16" t="str">
        <x:v>Aprobado en baseline v2.0</x:v>
      </x:c>
      <x:c r="N34" s="16" t="str">
        <x:v>Completa</x:v>
      </x:c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16" t="str">
        <x:v>RF-BCK-01</x:v>
      </x:c>
      <x:c r="B35" s="16" t="str">
        <x:v>EV-VT-T03-10</x:v>
      </x:c>
      <x:c r="C35" s="16" t="str">
        <x:v>Superadministrador</x:v>
      </x:c>
      <x:c r="D35" s="16" t="str">
        <x:v>CU-32</x:v>
      </x:c>
      <x:c r="E35" s="16" t="str">
        <x:v>Respaldo; EventoAuditoria</x:v>
      </x:c>
      <x:c r="F35" s="16" t="str">
        <x:v>P-14 Respaldar y recuperar</x:v>
      </x:c>
      <x:c r="G35" s="16" t="str">
        <x:v>Respaldo</x:v>
      </x:c>
      <x:c r="H35" s="16" t="str">
        <x:v>Dado un Superadministrador autenticado, cuando solicite un respaldo, entonces el sistema deberá iniciar el proceso cifrado, asignar un identificador y mostrar el estado y la fecha de finalización cuando concluya.</x:v>
      </x:c>
      <x:c r="I35" s="16" t="str">
        <x:v>CP-32</x:v>
      </x:c>
      <x:c r="J35" s="16" t="str">
        <x:v>HU-32</x:v>
      </x:c>
      <x:c r="K35" s="16" t="str">
        <x:v>Continuidad</x:v>
      </x:c>
      <x:c r="L35" s="16" t="str">
        <x:v>V7 / modelo conceptual</x:v>
      </x:c>
      <x:c r="M35" s="16" t="str">
        <x:v>Aprobado en baseline v2.0</x:v>
      </x:c>
      <x:c r="N35" s="16" t="str">
        <x:v>Completa</x:v>
      </x:c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16" t="str">
        <x:v>RF-BCK-02</x:v>
      </x:c>
      <x:c r="B36" s="16" t="str">
        <x:v>EV-VT-T03-10</x:v>
      </x:c>
      <x:c r="C36" s="16" t="str">
        <x:v>Superadministrador</x:v>
      </x:c>
      <x:c r="D36" s="16" t="str">
        <x:v>CU-33</x:v>
      </x:c>
      <x:c r="E36" s="16" t="str">
        <x:v>Respaldo; EventoAuditoria</x:v>
      </x:c>
      <x:c r="F36" s="16" t="str">
        <x:v>P-14 Respaldar y recuperar</x:v>
      </x:c>
      <x:c r="G36" s="16" t="str">
        <x:v>Respaldo</x:v>
      </x:c>
      <x:c r="H36" s="16" t="str">
        <x:v>Dado un respaldo íntegro seleccionado, cuando el Superadministrador confirme explícitamente la restauración, entonces el sistema deberá verificar su integridad, ejecutar la restauración y registrar la operación en auditoría; si la verificación falla, no deberá restaurar.</x:v>
      </x:c>
      <x:c r="I36" s="16" t="str">
        <x:v>CP-33</x:v>
      </x:c>
      <x:c r="J36" s="16" t="str">
        <x:v>HU-33</x:v>
      </x:c>
      <x:c r="K36" s="16" t="str">
        <x:v>Continuidad</x:v>
      </x:c>
      <x:c r="L36" s="16" t="str">
        <x:v>V7 / modelo conceptual</x:v>
      </x:c>
      <x:c r="M36" s="16" t="str">
        <x:v>Aprobado en baseline v2.0</x:v>
      </x:c>
      <x:c r="N36" s="16" t="str">
        <x:v>Completa</x:v>
      </x:c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16" t="str">
        <x:v>RF-CFG-02</x:v>
      </x:c>
      <x:c r="B37" s="16" t="str">
        <x:v>IND-14; V7</x:v>
      </x:c>
      <x:c r="C37" s="16" t="str">
        <x:v>Dueño</x:v>
      </x:c>
      <x:c r="D37" s="16" t="str">
        <x:v>CU-34</x:v>
      </x:c>
      <x:c r="E37" s="16" t="str">
        <x:v>Configuracion; HorarioAtencion; Producto</x:v>
      </x:c>
      <x:c r="F37" s="16" t="str">
        <x:v>P-13 Configurar operación</x:v>
      </x:c>
      <x:c r="G37" s="16" t="str">
        <x:v>Configuración</x:v>
      </x:c>
      <x:c r="H37" s="16" t="str">
        <x:v>Dado un Dueño autenticado y una configuración válida de días y horas, cuando guarde el horario, entonces el sistema deberá actualizarlo y mostrar al Cliente únicamente el horario vigente.</x:v>
      </x:c>
      <x:c r="I37" s="16" t="str">
        <x:v>CP-34</x:v>
      </x:c>
      <x:c r="J37" s="16" t="str">
        <x:v>HU-34</x:v>
      </x:c>
      <x:c r="K37" s="16" t="str">
        <x:v>Configuración</x:v>
      </x:c>
      <x:c r="L37" s="16" t="str">
        <x:v>V7 / modelo conceptual</x:v>
      </x:c>
      <x:c r="M37" s="16" t="str">
        <x:v>Aprobado en baseline v2.0</x:v>
      </x:c>
      <x:c r="N37" s="16" t="str">
        <x:v>Completa</x:v>
      </x:c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16" t="str">
        <x:v>RF-IA-RUT-01</x:v>
      </x:c>
      <x:c r="B38" s="16" t="str">
        <x:v>EV-VT-T02-05; H03; PE5-OE3</x:v>
      </x:c>
      <x:c r="C38" s="16" t="str">
        <x:v>Cliente/Instructor</x:v>
      </x:c>
      <x:c r="D38" s="16" t="str">
        <x:v>CU-35</x:v>
      </x:c>
      <x:c r="E38" s="16" t="str">
        <x:v>ModeloIA; Recomendacion; Alerta; Explicacion</x:v>
      </x:c>
      <x:c r="F38" s="16" t="str">
        <x:v>P-15 Asistir decisiones</x:v>
      </x:c>
      <x:c r="G38" s="16" t="str">
        <x:v>Salida IA</x:v>
      </x:c>
      <x:c r="H38" s="16" t="str">
        <x:v>Dado un objetivo operativo, disponibilidad semanal, historial no sensible y catálogo autorizado, cuando se solicite una recomendación, entonces el componente deberá devolver como máximo tres alternativas ordenadas de rutina y una explicación de los factores utilizados.</x:v>
      </x:c>
      <x:c r="I38" s="16" t="str">
        <x:v>CP-35</x:v>
      </x:c>
      <x:c r="J38" s="16" t="str">
        <x:v>HU-35</x:v>
      </x:c>
      <x:c r="K38" s="16" t="str">
        <x:v>Inteligencia artificial</x:v>
      </x:c>
      <x:c r="L38" s="16" t="str">
        <x:v>Prototipo pendiente</x:v>
      </x:c>
      <x:c r="M38" s="16" t="str">
        <x:v>Aprobado como requisito PE5; implementación pendiente</x:v>
      </x:c>
      <x:c r="N38" s="16" t="str">
        <x:v>Completa</x:v>
      </x:c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16" t="str">
        <x:v>RF-IA-RUT-02</x:v>
      </x:c>
      <x:c r="B39" s="16" t="str">
        <x:v>Decisión del equipo; PE5-OE3</x:v>
      </x:c>
      <x:c r="C39" s="16" t="str">
        <x:v>Cliente</x:v>
      </x:c>
      <x:c r="D39" s="16" t="str">
        <x:v>CU-36</x:v>
      </x:c>
      <x:c r="E39" s="16" t="str">
        <x:v>ModeloIA; Recomendacion; Alerta; Explicacion</x:v>
      </x:c>
      <x:c r="F39" s="16" t="str">
        <x:v>P-15 Asistir decisiones</x:v>
      </x:c>
      <x:c r="G39" s="16" t="str">
        <x:v>Salida IA</x:v>
      </x:c>
      <x:c r="H39" s="16" t="str">
        <x:v>Dado que el Cliente visualiza una recomendación de rutina, cuando seleccione aceptar, rechazar o solicitar alternativa, entonces el sistema deberá registrar la decisión y no deberá activar automáticamente la recomendación.</x:v>
      </x:c>
      <x:c r="I39" s="16" t="str">
        <x:v>CP-36</x:v>
      </x:c>
      <x:c r="J39" s="16" t="str">
        <x:v>HU-36</x:v>
      </x:c>
      <x:c r="K39" s="16" t="str">
        <x:v>Inteligencia artificial</x:v>
      </x:c>
      <x:c r="L39" s="16" t="str">
        <x:v>Prototipo pendiente</x:v>
      </x:c>
      <x:c r="M39" s="16" t="str">
        <x:v>Aprobado como requisito PE5; implementación pendiente</x:v>
      </x:c>
      <x:c r="N39" s="16" t="str">
        <x:v>Completa</x:v>
      </x:c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16" t="str">
        <x:v>RF-IA-RUT-03</x:v>
      </x:c>
      <x:c r="B40" s="16" t="str">
        <x:v>EV-VT-T01-07; EV-VT-T01-08; H02</x:v>
      </x:c>
      <x:c r="C40" s="16" t="str">
        <x:v>Instructor</x:v>
      </x:c>
      <x:c r="D40" s="16" t="str">
        <x:v>CU-37</x:v>
      </x:c>
      <x:c r="E40" s="16" t="str">
        <x:v>ModeloIA; Recomendacion; Alerta; Explicacion</x:v>
      </x:c>
      <x:c r="F40" s="16" t="str">
        <x:v>P-15 Asistir decisiones</x:v>
      </x:c>
      <x:c r="G40" s="16" t="str">
        <x:v>Salida IA</x:v>
      </x:c>
      <x:c r="H40" s="16" t="str">
        <x:v>Dado una recomendación aceptada por el Cliente, cuando el Instructor la revise, entonces el sistema deberá permitir aprobarla o rechazarla con motivo; únicamente una aprobación explícita podrá habilitar su activación.</x:v>
      </x:c>
      <x:c r="I40" s="16" t="str">
        <x:v>CP-37</x:v>
      </x:c>
      <x:c r="J40" s="16" t="str">
        <x:v>HU-37</x:v>
      </x:c>
      <x:c r="K40" s="16" t="str">
        <x:v>Inteligencia artificial</x:v>
      </x:c>
      <x:c r="L40" s="16" t="str">
        <x:v>Prototipo pendiente</x:v>
      </x:c>
      <x:c r="M40" s="16" t="str">
        <x:v>Aprobado como requisito PE5; implementación pendiente</x:v>
      </x:c>
      <x:c r="N40" s="16" t="str">
        <x:v>Completa</x:v>
      </x:c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16" t="str">
        <x:v>RF-IA-ABA-01</x:v>
      </x:c>
      <x:c r="B41" s="16" t="str">
        <x:v>PE5-OE3; decisión de diseño</x:v>
      </x:c>
      <x:c r="C41" s="16" t="str">
        <x:v>Dueño</x:v>
      </x:c>
      <x:c r="D41" s="16" t="str">
        <x:v>CU-38</x:v>
      </x:c>
      <x:c r="E41" s="16" t="str">
        <x:v>ModeloIA; Recomendacion; Alerta; Explicacion</x:v>
      </x:c>
      <x:c r="F41" s="16" t="str">
        <x:v>P-15 Asistir decisiones</x:v>
      </x:c>
      <x:c r="G41" s="16" t="str">
        <x:v>Salida IA</x:v>
      </x:c>
      <x:c r="H41" s="16" t="str">
        <x:v>Dado el historial de asistencia, vigencia de membresía y frecuencia histórica de un cliente, cuando se ejecute el cálculo semanal, entonces el componente deberá asignar un nivel bajo, medio o alto y registrar la fecha del cálculo.</x:v>
      </x:c>
      <x:c r="I41" s="16" t="str">
        <x:v>CP-38</x:v>
      </x:c>
      <x:c r="J41" s="16" t="str">
        <x:v>HU-38</x:v>
      </x:c>
      <x:c r="K41" s="16" t="str">
        <x:v>Inteligencia artificial</x:v>
      </x:c>
      <x:c r="L41" s="16" t="str">
        <x:v>Prototipo pendiente</x:v>
      </x:c>
      <x:c r="M41" s="16" t="str">
        <x:v>Aprobado como requisito PE5; implementación pendiente</x:v>
      </x:c>
      <x:c r="N41" s="16" t="str">
        <x:v>Completa</x:v>
      </x:c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16" t="str">
        <x:v>RF-IA-ABA-02</x:v>
      </x:c>
      <x:c r="B42" s="16" t="str">
        <x:v>PE5-OE3; decisión de diseño</x:v>
      </x:c>
      <x:c r="C42" s="16" t="str">
        <x:v>Dueño/Recepcionista</x:v>
      </x:c>
      <x:c r="D42" s="16" t="str">
        <x:v>CU-39</x:v>
      </x:c>
      <x:c r="E42" s="16" t="str">
        <x:v>ModeloIA; Recomendacion; Alerta; Explicacion</x:v>
      </x:c>
      <x:c r="F42" s="16" t="str">
        <x:v>P-15 Asistir decisiones</x:v>
      </x:c>
      <x:c r="G42" s="16" t="str">
        <x:v>Salida IA</x:v>
      </x:c>
      <x:c r="H42" s="16" t="str">
        <x:v>Dado que existen clientes clasificados con riesgo medio o alto, cuando Dueño o Recepcionista consulte las alertas, entonces el sistema deberá mostrar el nivel, la fecha y los principales factores de cada alerta sin ejecutar acciones automáticas.</x:v>
      </x:c>
      <x:c r="I42" s="16" t="str">
        <x:v>CP-39</x:v>
      </x:c>
      <x:c r="J42" s="16" t="str">
        <x:v>HU-39</x:v>
      </x:c>
      <x:c r="K42" s="16" t="str">
        <x:v>Inteligencia artificial</x:v>
      </x:c>
      <x:c r="L42" s="16" t="str">
        <x:v>Prototipo pendiente</x:v>
      </x:c>
      <x:c r="M42" s="16" t="str">
        <x:v>Aprobado como requisito PE5; implementación pendiente</x:v>
      </x:c>
      <x:c r="N42" s="16" t="str">
        <x:v>Completa</x:v>
      </x:c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16" t="str">
        <x:v>RF-IA-ABA-03</x:v>
      </x:c>
      <x:c r="B43" s="16" t="str">
        <x:v>PE5-OE3; decisión de diseño</x:v>
      </x:c>
      <x:c r="C43" s="16" t="str">
        <x:v>Recepcionista</x:v>
      </x:c>
      <x:c r="D43" s="16" t="str">
        <x:v>CU-40</x:v>
      </x:c>
      <x:c r="E43" s="16" t="str">
        <x:v>ModeloIA; Recomendacion; Alerta; Explicacion</x:v>
      </x:c>
      <x:c r="F43" s="16" t="str">
        <x:v>P-15 Asistir decisiones</x:v>
      </x:c>
      <x:c r="G43" s="16" t="str">
        <x:v>Salida IA</x:v>
      </x:c>
      <x:c r="H43" s="16" t="str">
        <x:v>Dado una alerta de riesgo visible, cuando Recepción registre contacto, aplazamiento o descarte, entonces el sistema deberá guardar la acción, responsable, fecha y observación para auditoría.</x:v>
      </x:c>
      <x:c r="I43" s="16" t="str">
        <x:v>CP-40</x:v>
      </x:c>
      <x:c r="J43" s="16" t="str">
        <x:v>HU-40</x:v>
      </x:c>
      <x:c r="K43" s="16" t="str">
        <x:v>Inteligencia artificial</x:v>
      </x:c>
      <x:c r="L43" s="16" t="str">
        <x:v>Prototipo pendiente</x:v>
      </x:c>
      <x:c r="M43" s="16" t="str">
        <x:v>Aprobado como requisito PE5; implementación pendiente</x:v>
      </x:c>
      <x:c r="N43" s="16" t="str">
        <x:v>Completa</x:v>
      </x:c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16" t="str">
        <x:v>RNF-AF-01</x:v>
      </x:c>
      <x:c r="B44" s="16" t="str">
        <x:v>ISO/IEC 25010:2023; PE5</x:v>
      </x:c>
      <x:c r="C44" s="16" t="str">
        <x:v>Equipo/usuarios</x:v>
      </x:c>
      <x:c r="D44" s="16" t="str">
        <x:v>N/A (transversal)</x:v>
      </x:c>
      <x:c r="E44" s="16" t="str">
        <x:v>Componentes afectados</x:v>
      </x:c>
      <x:c r="F44" s="16" t="str">
        <x:v>Procesos afectados</x:v>
      </x:c>
      <x:c r="G44" s="16" t="str">
        <x:v>N/A (atributo de calidad)</x:v>
      </x:c>
      <x:c r="H44" s="16" t="str">
        <x:v>Dado un entorno de prueba reproducible, cuando se ejecute el método de comprobación definido para RNF-AF-01, entonces se deberá alcanzar el umbral expresado en el requisito y conservar la evidencia.</x:v>
      </x:c>
      <x:c r="I44" s="16" t="str">
        <x:v>CP-RNF-AF-01</x:v>
      </x:c>
      <x:c r="J44" s="16" t="str">
        <x:v>HUQ-RNF-AF-01</x:v>
      </x:c>
      <x:c r="K44" s="16" t="str">
        <x:v>Transversal</x:v>
      </x:c>
      <x:c r="L44" s="16" t="str">
        <x:v>N/A</x:v>
      </x:c>
      <x:c r="M44" s="16" t="str">
        <x:v>Especificado; verificación pendiente</x:v>
      </x:c>
      <x:c r="N44" s="16" t="str">
        <x:v>Completa</x:v>
      </x:c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16" t="str">
        <x:v>RNF-ED-01</x:v>
      </x:c>
      <x:c r="B45" s="16" t="str">
        <x:v>ISO/IEC 25010:2023</x:v>
      </x:c>
      <x:c r="C45" s="16" t="str">
        <x:v>Equipo/usuarios</x:v>
      </x:c>
      <x:c r="D45" s="16" t="str">
        <x:v>N/A (transversal)</x:v>
      </x:c>
      <x:c r="E45" s="16" t="str">
        <x:v>Componentes afectados</x:v>
      </x:c>
      <x:c r="F45" s="16" t="str">
        <x:v>Procesos afectados</x:v>
      </x:c>
      <x:c r="G45" s="16" t="str">
        <x:v>N/A (atributo de calidad)</x:v>
      </x:c>
      <x:c r="H45" s="16" t="str">
        <x:v>Dado un entorno de prueba reproducible, cuando se ejecute el método de comprobación definido para RNF-ED-01, entonces se deberá alcanzar el umbral expresado en el requisito y conservar la evidencia.</x:v>
      </x:c>
      <x:c r="I45" s="16" t="str">
        <x:v>CP-RNF-ED-01</x:v>
      </x:c>
      <x:c r="J45" s="16" t="str">
        <x:v>HUQ-RNF-ED-01</x:v>
      </x:c>
      <x:c r="K45" s="16" t="str">
        <x:v>Transversal</x:v>
      </x:c>
      <x:c r="L45" s="16" t="str">
        <x:v>N/A</x:v>
      </x:c>
      <x:c r="M45" s="16" t="str">
        <x:v>Especificado; verificación pendiente</x:v>
      </x:c>
      <x:c r="N45" s="16" t="str">
        <x:v>Completa</x:v>
      </x:c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16" t="str">
        <x:v>RNF-ED-02</x:v>
      </x:c>
      <x:c r="B46" s="16" t="str">
        <x:v>EV-VT-T01-03; EV-VT-T02-06; EV-VT-T03-08</x:v>
      </x:c>
      <x:c r="C46" s="16" t="str">
        <x:v>Equipo/usuarios</x:v>
      </x:c>
      <x:c r="D46" s="16" t="str">
        <x:v>N/A (transversal)</x:v>
      </x:c>
      <x:c r="E46" s="16" t="str">
        <x:v>Componentes afectados</x:v>
      </x:c>
      <x:c r="F46" s="16" t="str">
        <x:v>Procesos afectados</x:v>
      </x:c>
      <x:c r="G46" s="16" t="str">
        <x:v>N/A (atributo de calidad)</x:v>
      </x:c>
      <x:c r="H46" s="16" t="str">
        <x:v>Dado un entorno de prueba reproducible, cuando se ejecute el método de comprobación definido para RNF-ED-02, entonces se deberá alcanzar el umbral expresado en el requisito y conservar la evidencia.</x:v>
      </x:c>
      <x:c r="I46" s="16" t="str">
        <x:v>CP-RNF-ED-02</x:v>
      </x:c>
      <x:c r="J46" s="16" t="str">
        <x:v>HUQ-RNF-ED-02</x:v>
      </x:c>
      <x:c r="K46" s="16" t="str">
        <x:v>Transversal</x:v>
      </x:c>
      <x:c r="L46" s="16" t="str">
        <x:v>N/A</x:v>
      </x:c>
      <x:c r="M46" s="16" t="str">
        <x:v>Especificado; verificación pendiente</x:v>
      </x:c>
      <x:c r="N46" s="16" t="str">
        <x:v>Completa</x:v>
      </x:c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16" t="str">
        <x:v>RNF-COM-01</x:v>
      </x:c>
      <x:c r="B47" s="16" t="str">
        <x:v>ISO/IEC 25010:2023</x:v>
      </x:c>
      <x:c r="C47" s="16" t="str">
        <x:v>Equipo/usuarios</x:v>
      </x:c>
      <x:c r="D47" s="16" t="str">
        <x:v>N/A (transversal)</x:v>
      </x:c>
      <x:c r="E47" s="16" t="str">
        <x:v>Componentes afectados</x:v>
      </x:c>
      <x:c r="F47" s="16" t="str">
        <x:v>Procesos afectados</x:v>
      </x:c>
      <x:c r="G47" s="16" t="str">
        <x:v>N/A (atributo de calidad)</x:v>
      </x:c>
      <x:c r="H47" s="16" t="str">
        <x:v>Dado un entorno de prueba reproducible, cuando se ejecute el método de comprobación definido para RNF-COM-01, entonces se deberá alcanzar el umbral expresado en el requisito y conservar la evidencia.</x:v>
      </x:c>
      <x:c r="I47" s="16" t="str">
        <x:v>CP-RNF-COM-01</x:v>
      </x:c>
      <x:c r="J47" s="16" t="str">
        <x:v>HUQ-RNF-COM-01</x:v>
      </x:c>
      <x:c r="K47" s="16" t="str">
        <x:v>Transversal</x:v>
      </x:c>
      <x:c r="L47" s="16" t="str">
        <x:v>N/A</x:v>
      </x:c>
      <x:c r="M47" s="16" t="str">
        <x:v>Especificado; verificación pendiente</x:v>
      </x:c>
      <x:c r="N47" s="16" t="str">
        <x:v>Completa</x:v>
      </x:c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16" t="str">
        <x:v>RNF-IU-01</x:v>
      </x:c>
      <x:c r="B48" s="16" t="str">
        <x:v>EV-VT-T01-11; EV-VT-T01-12; H04; H05</x:v>
      </x:c>
      <x:c r="C48" s="16" t="str">
        <x:v>Equipo/usuarios</x:v>
      </x:c>
      <x:c r="D48" s="16" t="str">
        <x:v>N/A (transversal)</x:v>
      </x:c>
      <x:c r="E48" s="16" t="str">
        <x:v>Componentes afectados</x:v>
      </x:c>
      <x:c r="F48" s="16" t="str">
        <x:v>Procesos afectados</x:v>
      </x:c>
      <x:c r="G48" s="16" t="str">
        <x:v>N/A (atributo de calidad)</x:v>
      </x:c>
      <x:c r="H48" s="16" t="str">
        <x:v>Dado un entorno de prueba reproducible, cuando se ejecute el método de comprobación definido para RNF-IU-01, entonces se deberá alcanzar el umbral expresado en el requisito y conservar la evidencia.</x:v>
      </x:c>
      <x:c r="I48" s="16" t="str">
        <x:v>CP-RNF-IU-01</x:v>
      </x:c>
      <x:c r="J48" s="16" t="str">
        <x:v>HUQ-RNF-IU-01</x:v>
      </x:c>
      <x:c r="K48" s="16" t="str">
        <x:v>Transversal</x:v>
      </x:c>
      <x:c r="L48" s="16" t="str">
        <x:v>N/A</x:v>
      </x:c>
      <x:c r="M48" s="16" t="str">
        <x:v>Especificado; verificación pendiente</x:v>
      </x:c>
      <x:c r="N48" s="16" t="str">
        <x:v>Completa</x:v>
      </x:c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16" t="str">
        <x:v>RNF-IU-02</x:v>
      </x:c>
      <x:c r="B49" s="16" t="str">
        <x:v>WCAG 2.2</x:v>
      </x:c>
      <x:c r="C49" s="16" t="str">
        <x:v>Equipo/usuarios</x:v>
      </x:c>
      <x:c r="D49" s="16" t="str">
        <x:v>N/A (transversal)</x:v>
      </x:c>
      <x:c r="E49" s="16" t="str">
        <x:v>Componentes afectados</x:v>
      </x:c>
      <x:c r="F49" s="16" t="str">
        <x:v>Procesos afectados</x:v>
      </x:c>
      <x:c r="G49" s="16" t="str">
        <x:v>N/A (atributo de calidad)</x:v>
      </x:c>
      <x:c r="H49" s="16" t="str">
        <x:v>Dado un entorno de prueba reproducible, cuando se ejecute el método de comprobación definido para RNF-IU-02, entonces se deberá alcanzar el umbral expresado en el requisito y conservar la evidencia.</x:v>
      </x:c>
      <x:c r="I49" s="16" t="str">
        <x:v>CP-RNF-IU-02</x:v>
      </x:c>
      <x:c r="J49" s="16" t="str">
        <x:v>HUQ-RNF-IU-02</x:v>
      </x:c>
      <x:c r="K49" s="16" t="str">
        <x:v>Transversal</x:v>
      </x:c>
      <x:c r="L49" s="16" t="str">
        <x:v>N/A</x:v>
      </x:c>
      <x:c r="M49" s="16" t="str">
        <x:v>Especificado; verificación pendiente</x:v>
      </x:c>
      <x:c r="N49" s="16" t="str">
        <x:v>Completa</x:v>
      </x:c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16" t="str">
        <x:v>RNF-FIA-01</x:v>
      </x:c>
      <x:c r="B50" s="16" t="str">
        <x:v>ISO/IEC 25010:2023</x:v>
      </x:c>
      <x:c r="C50" s="16" t="str">
        <x:v>Equipo/usuarios</x:v>
      </x:c>
      <x:c r="D50" s="16" t="str">
        <x:v>N/A (transversal)</x:v>
      </x:c>
      <x:c r="E50" s="16" t="str">
        <x:v>Componentes afectados</x:v>
      </x:c>
      <x:c r="F50" s="16" t="str">
        <x:v>Procesos afectados</x:v>
      </x:c>
      <x:c r="G50" s="16" t="str">
        <x:v>N/A (atributo de calidad)</x:v>
      </x:c>
      <x:c r="H50" s="16" t="str">
        <x:v>Dado un entorno de prueba reproducible, cuando se ejecute el método de comprobación definido para RNF-FIA-01, entonces se deberá alcanzar el umbral expresado en el requisito y conservar la evidencia.</x:v>
      </x:c>
      <x:c r="I50" s="16" t="str">
        <x:v>CP-RNF-FIA-01</x:v>
      </x:c>
      <x:c r="J50" s="16" t="str">
        <x:v>HUQ-RNF-FIA-01</x:v>
      </x:c>
      <x:c r="K50" s="16" t="str">
        <x:v>Transversal</x:v>
      </x:c>
      <x:c r="L50" s="16" t="str">
        <x:v>N/A</x:v>
      </x:c>
      <x:c r="M50" s="16" t="str">
        <x:v>Especificado; verificación pendiente</x:v>
      </x:c>
      <x:c r="N50" s="16" t="str">
        <x:v>Completa</x:v>
      </x:c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16" t="str">
        <x:v>RNF-FIA-02</x:v>
      </x:c>
      <x:c r="B51" s="16" t="str">
        <x:v>EV-VT-T03-10; H12</x:v>
      </x:c>
      <x:c r="C51" s="16" t="str">
        <x:v>Equipo/usuarios</x:v>
      </x:c>
      <x:c r="D51" s="16" t="str">
        <x:v>N/A (transversal)</x:v>
      </x:c>
      <x:c r="E51" s="16" t="str">
        <x:v>Componentes afectados</x:v>
      </x:c>
      <x:c r="F51" s="16" t="str">
        <x:v>Procesos afectados</x:v>
      </x:c>
      <x:c r="G51" s="16" t="str">
        <x:v>N/A (atributo de calidad)</x:v>
      </x:c>
      <x:c r="H51" s="16" t="str">
        <x:v>Dado un entorno de prueba reproducible, cuando se ejecute el método de comprobación definido para RNF-FIA-02, entonces se deberá alcanzar el umbral expresado en el requisito y conservar la evidencia.</x:v>
      </x:c>
      <x:c r="I51" s="16" t="str">
        <x:v>CP-RNF-FIA-02</x:v>
      </x:c>
      <x:c r="J51" s="16" t="str">
        <x:v>HUQ-RNF-FIA-02</x:v>
      </x:c>
      <x:c r="K51" s="16" t="str">
        <x:v>Transversal</x:v>
      </x:c>
      <x:c r="L51" s="16" t="str">
        <x:v>N/A</x:v>
      </x:c>
      <x:c r="M51" s="16" t="str">
        <x:v>Especificado; verificación pendiente</x:v>
      </x:c>
      <x:c r="N51" s="16" t="str">
        <x:v>Completa</x:v>
      </x:c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16" t="str">
        <x:v>RNF-SEG-01</x:v>
      </x:c>
      <x:c r="B52" s="16" t="str">
        <x:v>LOPDP; RF-AUT-02</x:v>
      </x:c>
      <x:c r="C52" s="16" t="str">
        <x:v>Equipo/usuarios</x:v>
      </x:c>
      <x:c r="D52" s="16" t="str">
        <x:v>N/A (transversal)</x:v>
      </x:c>
      <x:c r="E52" s="16" t="str">
        <x:v>Componentes afectados</x:v>
      </x:c>
      <x:c r="F52" s="16" t="str">
        <x:v>Procesos afectados</x:v>
      </x:c>
      <x:c r="G52" s="16" t="str">
        <x:v>N/A (atributo de calidad)</x:v>
      </x:c>
      <x:c r="H52" s="16" t="str">
        <x:v>Dado un entorno de prueba reproducible, cuando se ejecute el método de comprobación definido para RNF-SEG-01, entonces se deberá alcanzar el umbral expresado en el requisito y conservar la evidencia.</x:v>
      </x:c>
      <x:c r="I52" s="16" t="str">
        <x:v>CP-RNF-SEG-01</x:v>
      </x:c>
      <x:c r="J52" s="16" t="str">
        <x:v>HUQ-RNF-SEG-01</x:v>
      </x:c>
      <x:c r="K52" s="16" t="str">
        <x:v>Transversal</x:v>
      </x:c>
      <x:c r="L52" s="16" t="str">
        <x:v>N/A</x:v>
      </x:c>
      <x:c r="M52" s="16" t="str">
        <x:v>Especificado; verificación pendiente</x:v>
      </x:c>
      <x:c r="N52" s="16" t="str">
        <x:v>Completa</x:v>
      </x:c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16" t="str">
        <x:v>RNF-SEG-02</x:v>
      </x:c>
      <x:c r="B53" s="16" t="str">
        <x:v>LOPDP; I-01</x:v>
      </x:c>
      <x:c r="C53" s="16" t="str">
        <x:v>Equipo/usuarios</x:v>
      </x:c>
      <x:c r="D53" s="16" t="str">
        <x:v>N/A (transversal)</x:v>
      </x:c>
      <x:c r="E53" s="16" t="str">
        <x:v>Componentes afectados</x:v>
      </x:c>
      <x:c r="F53" s="16" t="str">
        <x:v>Procesos afectados</x:v>
      </x:c>
      <x:c r="G53" s="16" t="str">
        <x:v>N/A (atributo de calidad)</x:v>
      </x:c>
      <x:c r="H53" s="16" t="str">
        <x:v>Dado un entorno de prueba reproducible, cuando se ejecute el método de comprobación definido para RNF-SEG-02, entonces se deberá alcanzar el umbral expresado en el requisito y conservar la evidencia.</x:v>
      </x:c>
      <x:c r="I53" s="16" t="str">
        <x:v>CP-RNF-SEG-02</x:v>
      </x:c>
      <x:c r="J53" s="16" t="str">
        <x:v>HUQ-RNF-SEG-02</x:v>
      </x:c>
      <x:c r="K53" s="16" t="str">
        <x:v>Transversal</x:v>
      </x:c>
      <x:c r="L53" s="16" t="str">
        <x:v>N/A</x:v>
      </x:c>
      <x:c r="M53" s="16" t="str">
        <x:v>Especificado; verificación pendiente</x:v>
      </x:c>
      <x:c r="N53" s="16" t="str">
        <x:v>Completa</x:v>
      </x:c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16" t="str">
        <x:v>RNF-SEG-03</x:v>
      </x:c>
      <x:c r="B54" s="16" t="str">
        <x:v>LOPDP; OWASP</x:v>
      </x:c>
      <x:c r="C54" s="16" t="str">
        <x:v>Equipo/usuarios</x:v>
      </x:c>
      <x:c r="D54" s="16" t="str">
        <x:v>N/A (transversal)</x:v>
      </x:c>
      <x:c r="E54" s="16" t="str">
        <x:v>Componentes afectados</x:v>
      </x:c>
      <x:c r="F54" s="16" t="str">
        <x:v>Procesos afectados</x:v>
      </x:c>
      <x:c r="G54" s="16" t="str">
        <x:v>N/A (atributo de calidad)</x:v>
      </x:c>
      <x:c r="H54" s="16" t="str">
        <x:v>Dado un entorno de prueba reproducible, cuando se ejecute el método de comprobación definido para RNF-SEG-03, entonces se deberá alcanzar el umbral expresado en el requisito y conservar la evidencia.</x:v>
      </x:c>
      <x:c r="I54" s="16" t="str">
        <x:v>CP-RNF-SEG-03</x:v>
      </x:c>
      <x:c r="J54" s="16" t="str">
        <x:v>HUQ-RNF-SEG-03</x:v>
      </x:c>
      <x:c r="K54" s="16" t="str">
        <x:v>Transversal</x:v>
      </x:c>
      <x:c r="L54" s="16" t="str">
        <x:v>N/A</x:v>
      </x:c>
      <x:c r="M54" s="16" t="str">
        <x:v>Especificado; verificación pendiente</x:v>
      </x:c>
      <x:c r="N54" s="16" t="str">
        <x:v>Completa</x:v>
      </x:c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16" t="str">
        <x:v>RNF-MAN-01</x:v>
      </x:c>
      <x:c r="B55" s="16" t="str">
        <x:v>ISO/IEC 25010:2023</x:v>
      </x:c>
      <x:c r="C55" s="16" t="str">
        <x:v>Equipo/usuarios</x:v>
      </x:c>
      <x:c r="D55" s="16" t="str">
        <x:v>N/A (transversal)</x:v>
      </x:c>
      <x:c r="E55" s="16" t="str">
        <x:v>Componentes afectados</x:v>
      </x:c>
      <x:c r="F55" s="16" t="str">
        <x:v>Procesos afectados</x:v>
      </x:c>
      <x:c r="G55" s="16" t="str">
        <x:v>N/A (atributo de calidad)</x:v>
      </x:c>
      <x:c r="H55" s="16" t="str">
        <x:v>Dado un entorno de prueba reproducible, cuando se ejecute el método de comprobación definido para RNF-MAN-01, entonces se deberá alcanzar el umbral expresado en el requisito y conservar la evidencia.</x:v>
      </x:c>
      <x:c r="I55" s="16" t="str">
        <x:v>CP-RNF-MAN-01</x:v>
      </x:c>
      <x:c r="J55" s="16" t="str">
        <x:v>HUQ-RNF-MAN-01</x:v>
      </x:c>
      <x:c r="K55" s="16" t="str">
        <x:v>Transversal</x:v>
      </x:c>
      <x:c r="L55" s="16" t="str">
        <x:v>N/A</x:v>
      </x:c>
      <x:c r="M55" s="16" t="str">
        <x:v>Especificado; verificación pendiente</x:v>
      </x:c>
      <x:c r="N55" s="16" t="str">
        <x:v>Completa</x:v>
      </x:c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16" t="str">
        <x:v>RNF-MAN-02</x:v>
      </x:c>
      <x:c r="B56" s="16" t="str">
        <x:v>ISO/IEC 25010:2023; H16</x:v>
      </x:c>
      <x:c r="C56" s="16" t="str">
        <x:v>Equipo/usuarios</x:v>
      </x:c>
      <x:c r="D56" s="16" t="str">
        <x:v>N/A (transversal)</x:v>
      </x:c>
      <x:c r="E56" s="16" t="str">
        <x:v>Componentes afectados</x:v>
      </x:c>
      <x:c r="F56" s="16" t="str">
        <x:v>Procesos afectados</x:v>
      </x:c>
      <x:c r="G56" s="16" t="str">
        <x:v>N/A (atributo de calidad)</x:v>
      </x:c>
      <x:c r="H56" s="16" t="str">
        <x:v>Dado un entorno de prueba reproducible, cuando se ejecute el método de comprobación definido para RNF-MAN-02, entonces se deberá alcanzar el umbral expresado en el requisito y conservar la evidencia.</x:v>
      </x:c>
      <x:c r="I56" s="16" t="str">
        <x:v>CP-RNF-MAN-02</x:v>
      </x:c>
      <x:c r="J56" s="16" t="str">
        <x:v>HUQ-RNF-MAN-02</x:v>
      </x:c>
      <x:c r="K56" s="16" t="str">
        <x:v>Transversal</x:v>
      </x:c>
      <x:c r="L56" s="16" t="str">
        <x:v>N/A</x:v>
      </x:c>
      <x:c r="M56" s="16" t="str">
        <x:v>Especificado; verificación pendiente</x:v>
      </x:c>
      <x:c r="N56" s="16" t="str">
        <x:v>Completa</x:v>
      </x:c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16" t="str">
        <x:v>RNF-POR-01</x:v>
      </x:c>
      <x:c r="B57" s="16" t="str">
        <x:v>ISO/IEC 25010:2023</x:v>
      </x:c>
      <x:c r="C57" s="16" t="str">
        <x:v>Equipo/usuarios</x:v>
      </x:c>
      <x:c r="D57" s="16" t="str">
        <x:v>N/A (transversal)</x:v>
      </x:c>
      <x:c r="E57" s="16" t="str">
        <x:v>Componentes afectados</x:v>
      </x:c>
      <x:c r="F57" s="16" t="str">
        <x:v>Procesos afectados</x:v>
      </x:c>
      <x:c r="G57" s="16" t="str">
        <x:v>N/A (atributo de calidad)</x:v>
      </x:c>
      <x:c r="H57" s="16" t="str">
        <x:v>Dado un entorno de prueba reproducible, cuando se ejecute el método de comprobación definido para RNF-POR-01, entonces se deberá alcanzar el umbral expresado en el requisito y conservar la evidencia.</x:v>
      </x:c>
      <x:c r="I57" s="16" t="str">
        <x:v>CP-RNF-POR-01</x:v>
      </x:c>
      <x:c r="J57" s="16" t="str">
        <x:v>HUQ-RNF-POR-01</x:v>
      </x:c>
      <x:c r="K57" s="16" t="str">
        <x:v>Transversal</x:v>
      </x:c>
      <x:c r="L57" s="16" t="str">
        <x:v>N/A</x:v>
      </x:c>
      <x:c r="M57" s="16" t="str">
        <x:v>Especificado; verificación pendiente</x:v>
      </x:c>
      <x:c r="N57" s="16" t="str">
        <x:v>Completa</x:v>
      </x:c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16" t="str">
        <x:v>RNF-FLE-01</x:v>
      </x:c>
      <x:c r="B58" s="16" t="str">
        <x:v>EV-VT-T03-05; H10; H16</x:v>
      </x:c>
      <x:c r="C58" s="16" t="str">
        <x:v>Equipo/usuarios</x:v>
      </x:c>
      <x:c r="D58" s="16" t="str">
        <x:v>N/A (transversal)</x:v>
      </x:c>
      <x:c r="E58" s="16" t="str">
        <x:v>Componentes afectados</x:v>
      </x:c>
      <x:c r="F58" s="16" t="str">
        <x:v>Procesos afectados</x:v>
      </x:c>
      <x:c r="G58" s="16" t="str">
        <x:v>N/A (atributo de calidad)</x:v>
      </x:c>
      <x:c r="H58" s="16" t="str">
        <x:v>Dado un entorno de prueba reproducible, cuando se ejecute el método de comprobación definido para RNF-FLE-01, entonces se deberá alcanzar el umbral expresado en el requisito y conservar la evidencia.</x:v>
      </x:c>
      <x:c r="I58" s="16" t="str">
        <x:v>CP-RNF-FLE-01</x:v>
      </x:c>
      <x:c r="J58" s="16" t="str">
        <x:v>HUQ-RNF-FLE-01</x:v>
      </x:c>
      <x:c r="K58" s="16" t="str">
        <x:v>Transversal</x:v>
      </x:c>
      <x:c r="L58" s="16" t="str">
        <x:v>N/A</x:v>
      </x:c>
      <x:c r="M58" s="16" t="str">
        <x:v>Especificado; verificación pendiente</x:v>
      </x:c>
      <x:c r="N58" s="16" t="str">
        <x:v>Completa</x:v>
      </x:c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16" t="str">
        <x:v>RNF-IA-RUT-P01</x:v>
      </x:c>
      <x:c r="B59" s="16" t="str">
        <x:v>PE5-OE3; ISO/IEC 25010:2023</x:v>
      </x:c>
      <x:c r="C59" s="16" t="str">
        <x:v>Equipo/usuarios</x:v>
      </x:c>
      <x:c r="D59" s="16" t="str">
        <x:v>N/A (transversal)</x:v>
      </x:c>
      <x:c r="E59" s="16" t="str">
        <x:v>ModeloIA; RegistroMetrica</x:v>
      </x:c>
      <x:c r="F59" s="16" t="str">
        <x:v>Procesos afectados</x:v>
      </x:c>
      <x:c r="G59" s="16" t="str">
        <x:v>N/A (atributo de calidad)</x:v>
      </x:c>
      <x:c r="H59" s="16" t="str">
        <x:v>Dado un entorno de prueba reproducible, cuando se ejecute el método de comprobación definido para RNF-IA-RUT-P01, entonces se deberá alcanzar el umbral expresado en el requisito y conservar la evidencia.</x:v>
      </x:c>
      <x:c r="I59" s="16" t="str">
        <x:v>CP-RNF-IA-RUT-P01</x:v>
      </x:c>
      <x:c r="J59" s="16" t="str">
        <x:v>HUQ-RNF-IA-RUT-P01</x:v>
      </x:c>
      <x:c r="K59" s="16" t="str">
        <x:v>Inteligencia artificial</x:v>
      </x:c>
      <x:c r="L59" s="16" t="str">
        <x:v>N/A</x:v>
      </x:c>
      <x:c r="M59" s="16" t="str">
        <x:v>Aprobado como requisito PE5; evaluación pendiente</x:v>
      </x:c>
      <x:c r="N59" s="16" t="str">
        <x:v>Completa</x:v>
      </x:c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16" t="str">
        <x:v>RNF-IA-RUT-P02</x:v>
      </x:c>
      <x:c r="B60" s="16" t="str">
        <x:v>PE5-OE3</x:v>
      </x:c>
      <x:c r="C60" s="16" t="str">
        <x:v>Equipo/usuarios</x:v>
      </x:c>
      <x:c r="D60" s="16" t="str">
        <x:v>N/A (transversal)</x:v>
      </x:c>
      <x:c r="E60" s="16" t="str">
        <x:v>ModeloIA; RegistroMetrica</x:v>
      </x:c>
      <x:c r="F60" s="16" t="str">
        <x:v>Procesos afectados</x:v>
      </x:c>
      <x:c r="G60" s="16" t="str">
        <x:v>N/A (atributo de calidad)</x:v>
      </x:c>
      <x:c r="H60" s="16" t="str">
        <x:v>Dado un entorno de prueba reproducible, cuando se ejecute el método de comprobación definido para RNF-IA-RUT-P02, entonces se deberá alcanzar el umbral expresado en el requisito y conservar la evidencia.</x:v>
      </x:c>
      <x:c r="I60" s="16" t="str">
        <x:v>CP-RNF-IA-RUT-P02</x:v>
      </x:c>
      <x:c r="J60" s="16" t="str">
        <x:v>HUQ-RNF-IA-RUT-P02</x:v>
      </x:c>
      <x:c r="K60" s="16" t="str">
        <x:v>Inteligencia artificial</x:v>
      </x:c>
      <x:c r="L60" s="16" t="str">
        <x:v>N/A</x:v>
      </x:c>
      <x:c r="M60" s="16" t="str">
        <x:v>Aprobado como requisito PE5; evaluación pendiente</x:v>
      </x:c>
      <x:c r="N60" s="16" t="str">
        <x:v>Completa</x:v>
      </x:c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16" t="str">
        <x:v>RNF-IA-RUT-P03</x:v>
      </x:c>
      <x:c r="B61" s="16" t="str">
        <x:v>PE5-OE3</x:v>
      </x:c>
      <x:c r="C61" s="16" t="str">
        <x:v>Equipo/usuarios</x:v>
      </x:c>
      <x:c r="D61" s="16" t="str">
        <x:v>N/A (transversal)</x:v>
      </x:c>
      <x:c r="E61" s="16" t="str">
        <x:v>ModeloIA; RegistroMetrica</x:v>
      </x:c>
      <x:c r="F61" s="16" t="str">
        <x:v>Procesos afectados</x:v>
      </x:c>
      <x:c r="G61" s="16" t="str">
        <x:v>N/A (atributo de calidad)</x:v>
      </x:c>
      <x:c r="H61" s="16" t="str">
        <x:v>Dado un entorno de prueba reproducible, cuando se ejecute el método de comprobación definido para RNF-IA-RUT-P03, entonces se deberá alcanzar el umbral expresado en el requisito y conservar la evidencia.</x:v>
      </x:c>
      <x:c r="I61" s="16" t="str">
        <x:v>CP-RNF-IA-RUT-P03</x:v>
      </x:c>
      <x:c r="J61" s="16" t="str">
        <x:v>HUQ-RNF-IA-RUT-P03</x:v>
      </x:c>
      <x:c r="K61" s="16" t="str">
        <x:v>Inteligencia artificial</x:v>
      </x:c>
      <x:c r="L61" s="16" t="str">
        <x:v>N/A</x:v>
      </x:c>
      <x:c r="M61" s="16" t="str">
        <x:v>Aprobado como requisito PE5; evaluación pendiente</x:v>
      </x:c>
      <x:c r="N61" s="16" t="str">
        <x:v>Completa</x:v>
      </x:c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16" t="str">
        <x:v>RNF-IA-RUT-E01</x:v>
      </x:c>
      <x:c r="B62" s="16" t="str">
        <x:v>PE5-OE3; Reglamento (UE) 2024/1689</x:v>
      </x:c>
      <x:c r="C62" s="16" t="str">
        <x:v>Equipo/usuarios</x:v>
      </x:c>
      <x:c r="D62" s="16" t="str">
        <x:v>N/A (transversal)</x:v>
      </x:c>
      <x:c r="E62" s="16" t="str">
        <x:v>ModeloIA; RegistroMetrica</x:v>
      </x:c>
      <x:c r="F62" s="16" t="str">
        <x:v>Procesos afectados</x:v>
      </x:c>
      <x:c r="G62" s="16" t="str">
        <x:v>N/A (atributo de calidad)</x:v>
      </x:c>
      <x:c r="H62" s="16" t="str">
        <x:v>Dado un entorno de prueba reproducible, cuando se ejecute el método de comprobación definido para RNF-IA-RUT-E01, entonces se deberá alcanzar el umbral expresado en el requisito y conservar la evidencia.</x:v>
      </x:c>
      <x:c r="I62" s="16" t="str">
        <x:v>CP-RNF-IA-RUT-E01</x:v>
      </x:c>
      <x:c r="J62" s="16" t="str">
        <x:v>HUQ-RNF-IA-RUT-E01</x:v>
      </x:c>
      <x:c r="K62" s="16" t="str">
        <x:v>Inteligencia artificial</x:v>
      </x:c>
      <x:c r="L62" s="16" t="str">
        <x:v>N/A</x:v>
      </x:c>
      <x:c r="M62" s="16" t="str">
        <x:v>Aprobado como requisito PE5; evaluación pendiente</x:v>
      </x:c>
      <x:c r="N62" s="16" t="str">
        <x:v>Completa</x:v>
      </x:c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16" t="str">
        <x:v>RNF-IA-RUT-E02</x:v>
      </x:c>
      <x:c r="B63" s="16" t="str">
        <x:v>PE5-OE3; LOPDP</x:v>
      </x:c>
      <x:c r="C63" s="16" t="str">
        <x:v>Equipo/usuarios</x:v>
      </x:c>
      <x:c r="D63" s="16" t="str">
        <x:v>N/A (transversal)</x:v>
      </x:c>
      <x:c r="E63" s="16" t="str">
        <x:v>ModeloIA; RegistroMetrica</x:v>
      </x:c>
      <x:c r="F63" s="16" t="str">
        <x:v>Procesos afectados</x:v>
      </x:c>
      <x:c r="G63" s="16" t="str">
        <x:v>N/A (atributo de calidad)</x:v>
      </x:c>
      <x:c r="H63" s="16" t="str">
        <x:v>Dado un entorno de prueba reproducible, cuando se ejecute el método de comprobación definido para RNF-IA-RUT-E02, entonces se deberá alcanzar el umbral expresado en el requisito y conservar la evidencia.</x:v>
      </x:c>
      <x:c r="I63" s="16" t="str">
        <x:v>CP-RNF-IA-RUT-E02</x:v>
      </x:c>
      <x:c r="J63" s="16" t="str">
        <x:v>HUQ-RNF-IA-RUT-E02</x:v>
      </x:c>
      <x:c r="K63" s="16" t="str">
        <x:v>Inteligencia artificial</x:v>
      </x:c>
      <x:c r="L63" s="16" t="str">
        <x:v>N/A</x:v>
      </x:c>
      <x:c r="M63" s="16" t="str">
        <x:v>Aprobado como requisito PE5; evaluación pendiente</x:v>
      </x:c>
      <x:c r="N63" s="16" t="str">
        <x:v>Completa</x:v>
      </x:c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16" t="str">
        <x:v>RNF-IA-RUT-X01</x:v>
      </x:c>
      <x:c r="B64" s="16" t="str">
        <x:v>EV-VT-T02-05; H03</x:v>
      </x:c>
      <x:c r="C64" s="16" t="str">
        <x:v>Equipo/usuarios</x:v>
      </x:c>
      <x:c r="D64" s="16" t="str">
        <x:v>N/A (transversal)</x:v>
      </x:c>
      <x:c r="E64" s="16" t="str">
        <x:v>ModeloIA; RegistroMetrica</x:v>
      </x:c>
      <x:c r="F64" s="16" t="str">
        <x:v>Procesos afectados</x:v>
      </x:c>
      <x:c r="G64" s="16" t="str">
        <x:v>N/A (atributo de calidad)</x:v>
      </x:c>
      <x:c r="H64" s="16" t="str">
        <x:v>Dado un entorno de prueba reproducible, cuando se ejecute el método de comprobación definido para RNF-IA-RUT-X01, entonces se deberá alcanzar el umbral expresado en el requisito y conservar la evidencia.</x:v>
      </x:c>
      <x:c r="I64" s="16" t="str">
        <x:v>CP-RNF-IA-RUT-X01</x:v>
      </x:c>
      <x:c r="J64" s="16" t="str">
        <x:v>HUQ-RNF-IA-RUT-X01</x:v>
      </x:c>
      <x:c r="K64" s="16" t="str">
        <x:v>Inteligencia artificial</x:v>
      </x:c>
      <x:c r="L64" s="16" t="str">
        <x:v>N/A</x:v>
      </x:c>
      <x:c r="M64" s="16" t="str">
        <x:v>Aprobado como requisito PE5; evaluación pendiente</x:v>
      </x:c>
      <x:c r="N64" s="16" t="str">
        <x:v>Completa</x:v>
      </x:c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16" t="str">
        <x:v>RNF-IA-ABA-P01</x:v>
      </x:c>
      <x:c r="B65" s="16" t="str">
        <x:v>PE5-OE3</x:v>
      </x:c>
      <x:c r="C65" s="16" t="str">
        <x:v>Equipo/usuarios</x:v>
      </x:c>
      <x:c r="D65" s="16" t="str">
        <x:v>N/A (transversal)</x:v>
      </x:c>
      <x:c r="E65" s="16" t="str">
        <x:v>ModeloIA; RegistroMetrica</x:v>
      </x:c>
      <x:c r="F65" s="16" t="str">
        <x:v>Procesos afectados</x:v>
      </x:c>
      <x:c r="G65" s="16" t="str">
        <x:v>N/A (atributo de calidad)</x:v>
      </x:c>
      <x:c r="H65" s="16" t="str">
        <x:v>Dado un entorno de prueba reproducible, cuando se ejecute el método de comprobación definido para RNF-IA-ABA-P01, entonces se deberá alcanzar el umbral expresado en el requisito y conservar la evidencia.</x:v>
      </x:c>
      <x:c r="I65" s="16" t="str">
        <x:v>CP-RNF-IA-ABA-P01</x:v>
      </x:c>
      <x:c r="J65" s="16" t="str">
        <x:v>HUQ-RNF-IA-ABA-P01</x:v>
      </x:c>
      <x:c r="K65" s="16" t="str">
        <x:v>Inteligencia artificial</x:v>
      </x:c>
      <x:c r="L65" s="16" t="str">
        <x:v>N/A</x:v>
      </x:c>
      <x:c r="M65" s="16" t="str">
        <x:v>Aprobado como requisito PE5; evaluación pendiente</x:v>
      </x:c>
      <x:c r="N65" s="16" t="str">
        <x:v>Completa</x:v>
      </x:c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16" t="str">
        <x:v>RNF-IA-ABA-P02</x:v>
      </x:c>
      <x:c r="B66" s="16" t="str">
        <x:v>PE5-OE3</x:v>
      </x:c>
      <x:c r="C66" s="16" t="str">
        <x:v>Equipo/usuarios</x:v>
      </x:c>
      <x:c r="D66" s="16" t="str">
        <x:v>N/A (transversal)</x:v>
      </x:c>
      <x:c r="E66" s="16" t="str">
        <x:v>ModeloIA; RegistroMetrica</x:v>
      </x:c>
      <x:c r="F66" s="16" t="str">
        <x:v>Procesos afectados</x:v>
      </x:c>
      <x:c r="G66" s="16" t="str">
        <x:v>N/A (atributo de calidad)</x:v>
      </x:c>
      <x:c r="H66" s="16" t="str">
        <x:v>Dado un entorno de prueba reproducible, cuando se ejecute el método de comprobación definido para RNF-IA-ABA-P02, entonces se deberá alcanzar el umbral expresado en el requisito y conservar la evidencia.</x:v>
      </x:c>
      <x:c r="I66" s="16" t="str">
        <x:v>CP-RNF-IA-ABA-P02</x:v>
      </x:c>
      <x:c r="J66" s="16" t="str">
        <x:v>HUQ-RNF-IA-ABA-P02</x:v>
      </x:c>
      <x:c r="K66" s="16" t="str">
        <x:v>Inteligencia artificial</x:v>
      </x:c>
      <x:c r="L66" s="16" t="str">
        <x:v>N/A</x:v>
      </x:c>
      <x:c r="M66" s="16" t="str">
        <x:v>Aprobado como requisito PE5; evaluación pendiente</x:v>
      </x:c>
      <x:c r="N66" s="16" t="str">
        <x:v>Completa</x:v>
      </x:c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16" t="str">
        <x:v>RNF-IA-ABA-P03</x:v>
      </x:c>
      <x:c r="B67" s="16" t="str">
        <x:v>PE5-OE3</x:v>
      </x:c>
      <x:c r="C67" s="16" t="str">
        <x:v>Equipo/usuarios</x:v>
      </x:c>
      <x:c r="D67" s="16" t="str">
        <x:v>N/A (transversal)</x:v>
      </x:c>
      <x:c r="E67" s="16" t="str">
        <x:v>ModeloIA; RegistroMetrica</x:v>
      </x:c>
      <x:c r="F67" s="16" t="str">
        <x:v>Procesos afectados</x:v>
      </x:c>
      <x:c r="G67" s="16" t="str">
        <x:v>N/A (atributo de calidad)</x:v>
      </x:c>
      <x:c r="H67" s="16" t="str">
        <x:v>Dado un entorno de prueba reproducible, cuando se ejecute el método de comprobación definido para RNF-IA-ABA-P03, entonces se deberá alcanzar el umbral expresado en el requisito y conservar la evidencia.</x:v>
      </x:c>
      <x:c r="I67" s="16" t="str">
        <x:v>CP-RNF-IA-ABA-P03</x:v>
      </x:c>
      <x:c r="J67" s="16" t="str">
        <x:v>HUQ-RNF-IA-ABA-P03</x:v>
      </x:c>
      <x:c r="K67" s="16" t="str">
        <x:v>Inteligencia artificial</x:v>
      </x:c>
      <x:c r="L67" s="16" t="str">
        <x:v>N/A</x:v>
      </x:c>
      <x:c r="M67" s="16" t="str">
        <x:v>Aprobado como requisito PE5; evaluación pendiente</x:v>
      </x:c>
      <x:c r="N67" s="16" t="str">
        <x:v>Completa</x:v>
      </x:c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16" t="str">
        <x:v>RNF-IA-ABA-E01</x:v>
      </x:c>
      <x:c r="B68" s="16" t="str">
        <x:v>PE5-OE3; Reglamento (UE) 2024/1689</x:v>
      </x:c>
      <x:c r="C68" s="16" t="str">
        <x:v>Equipo/usuarios</x:v>
      </x:c>
      <x:c r="D68" s="16" t="str">
        <x:v>N/A (transversal)</x:v>
      </x:c>
      <x:c r="E68" s="16" t="str">
        <x:v>ModeloIA; RegistroMetrica</x:v>
      </x:c>
      <x:c r="F68" s="16" t="str">
        <x:v>Procesos afectados</x:v>
      </x:c>
      <x:c r="G68" s="16" t="str">
        <x:v>N/A (atributo de calidad)</x:v>
      </x:c>
      <x:c r="H68" s="16" t="str">
        <x:v>Dado un entorno de prueba reproducible, cuando se ejecute el método de comprobación definido para RNF-IA-ABA-E01, entonces se deberá alcanzar el umbral expresado en el requisito y conservar la evidencia.</x:v>
      </x:c>
      <x:c r="I68" s="16" t="str">
        <x:v>CP-RNF-IA-ABA-E01</x:v>
      </x:c>
      <x:c r="J68" s="16" t="str">
        <x:v>HUQ-RNF-IA-ABA-E01</x:v>
      </x:c>
      <x:c r="K68" s="16" t="str">
        <x:v>Inteligencia artificial</x:v>
      </x:c>
      <x:c r="L68" s="16" t="str">
        <x:v>N/A</x:v>
      </x:c>
      <x:c r="M68" s="16" t="str">
        <x:v>Aprobado como requisito PE5; evaluación pendiente</x:v>
      </x:c>
      <x:c r="N68" s="16" t="str">
        <x:v>Completa</x:v>
      </x:c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16" t="str">
        <x:v>RNF-IA-ABA-E02</x:v>
      </x:c>
      <x:c r="B69" s="16" t="str">
        <x:v>PE5-OE3</x:v>
      </x:c>
      <x:c r="C69" s="16" t="str">
        <x:v>Equipo/usuarios</x:v>
      </x:c>
      <x:c r="D69" s="16" t="str">
        <x:v>N/A (transversal)</x:v>
      </x:c>
      <x:c r="E69" s="16" t="str">
        <x:v>ModeloIA; RegistroMetrica</x:v>
      </x:c>
      <x:c r="F69" s="16" t="str">
        <x:v>Procesos afectados</x:v>
      </x:c>
      <x:c r="G69" s="16" t="str">
        <x:v>N/A (atributo de calidad)</x:v>
      </x:c>
      <x:c r="H69" s="16" t="str">
        <x:v>Dado un entorno de prueba reproducible, cuando se ejecute el método de comprobación definido para RNF-IA-ABA-E02, entonces se deberá alcanzar el umbral expresado en el requisito y conservar la evidencia.</x:v>
      </x:c>
      <x:c r="I69" s="16" t="str">
        <x:v>CP-RNF-IA-ABA-E02</x:v>
      </x:c>
      <x:c r="J69" s="16" t="str">
        <x:v>HUQ-RNF-IA-ABA-E02</x:v>
      </x:c>
      <x:c r="K69" s="16" t="str">
        <x:v>Inteligencia artificial</x:v>
      </x:c>
      <x:c r="L69" s="16" t="str">
        <x:v>N/A</x:v>
      </x:c>
      <x:c r="M69" s="16" t="str">
        <x:v>Aprobado como requisito PE5; evaluación pendiente</x:v>
      </x:c>
      <x:c r="N69" s="16" t="str">
        <x:v>Completa</x:v>
      </x:c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16" t="str">
        <x:v>RNF-IA-ABA-X01</x:v>
      </x:c>
      <x:c r="B70" s="16" t="str">
        <x:v>PE5-OE3</x:v>
      </x:c>
      <x:c r="C70" s="16" t="str">
        <x:v>Equipo/usuarios</x:v>
      </x:c>
      <x:c r="D70" s="16" t="str">
        <x:v>N/A (transversal)</x:v>
      </x:c>
      <x:c r="E70" s="16" t="str">
        <x:v>ModeloIA; RegistroMetrica</x:v>
      </x:c>
      <x:c r="F70" s="16" t="str">
        <x:v>Procesos afectados</x:v>
      </x:c>
      <x:c r="G70" s="16" t="str">
        <x:v>N/A (atributo de calidad)</x:v>
      </x:c>
      <x:c r="H70" s="16" t="str">
        <x:v>Dado un entorno de prueba reproducible, cuando se ejecute el método de comprobación definido para RNF-IA-ABA-X01, entonces se deberá alcanzar el umbral expresado en el requisito y conservar la evidencia.</x:v>
      </x:c>
      <x:c r="I70" s="16" t="str">
        <x:v>CP-RNF-IA-ABA-X01</x:v>
      </x:c>
      <x:c r="J70" s="16" t="str">
        <x:v>HUQ-RNF-IA-ABA-X01</x:v>
      </x:c>
      <x:c r="K70" s="16" t="str">
        <x:v>Inteligencia artificial</x:v>
      </x:c>
      <x:c r="L70" s="16" t="str">
        <x:v>N/A</x:v>
      </x:c>
      <x:c r="M70" s="16" t="str">
        <x:v>Aprobado como requisito PE5; evaluación pendiente</x:v>
      </x:c>
      <x:c r="N70" s="16" t="str">
        <x:v>Completa</x:v>
      </x:c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mergeCells>
    <x:mergeCell ref="A1:N1"/>
    <x:mergeCell ref="A2:N2"/>
  </x:mergeCells>
  <x:conditionalFormatting sqref="N4:N70">
    <x:cfRule type="containsText" dxfId="3" priority="1" operator="containsText" text="Completa"/>
  </x:conditionalFormatting>
  <x:dataValidations count="1">
    <x:dataValidation type="list" sqref="N4:N70">
      <x:formula1>"Completa (conceptual),Rota,Huérfana,N/A justificado"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c237ef77624c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</x:cols>
  <x:sheetData>
    <x:row r="1" ht="30" customHeight="1">
      <x:c r="A1" s="92" t="str">
        <x:v>Auditoría de calidad del ERS - PE5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7" t="str">
        <x:v>Conteos auditables y fórmulas operativas según Guía PE5.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 ht="30" customHeight="1">
      <x:c r="A3" s="84" t="str">
        <x:v>Métrica</x:v>
      </x:c>
      <x:c r="B3" s="84" t="str">
        <x:v>Numerador antes</x:v>
      </x:c>
      <x:c r="C3" s="84" t="str">
        <x:v>Denominador antes</x:v>
      </x:c>
      <x:c r="D3" s="84" t="str">
        <x:v>Valor antes</x:v>
      </x:c>
      <x:c r="E3" s="84" t="str">
        <x:v>Numerador después</x:v>
      </x:c>
      <x:c r="F3" s="84" t="str">
        <x:v>Denominador después</x:v>
      </x:c>
      <x:c r="G3" s="84" t="str">
        <x:v>Valor después</x:v>
      </x:c>
      <x:c r="H3" s="84" t="str">
        <x:v>Referencia</x:v>
      </x:c>
      <x:c r="I3" s="84" t="str">
        <x:v>Regla</x:v>
      </x:c>
      <x:c r="J3" s="84" t="str">
        <x:v>Cumple antes</x:v>
      </x:c>
      <x:c r="K3" s="84" t="str">
        <x:v>Cumple después</x:v>
      </x:c>
      <x:c r="L3" s="84" t="str">
        <x:v>Acción aplicada</x:v>
      </x:c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16" t="str">
        <x:v>M1a Atributos</x:v>
      </x:c>
      <x:c r="B4" s="16" t="n">
        <x:v>34</x:v>
      </x:c>
      <x:c r="C4" s="16" t="n">
        <x:v>40</x:v>
      </x:c>
      <x:c r="D4" s="18" t="n">
        <x:f>B4/C4</x:f>
        <x:v>0.85</x:v>
      </x:c>
      <x:c r="E4" s="16" t="n">
        <x:v>67</x:v>
      </x:c>
      <x:c r="F4" s="16" t="n">
        <x:v>67</x:v>
      </x:c>
      <x:c r="G4" s="18" t="n">
        <x:f>E4/F4</x:f>
        <x:v>1</x:v>
      </x:c>
      <x:c r="H4" s="18" t="n">
        <x:v>0.95</x:v>
      </x:c>
      <x:c r="I4" s="16" t="str">
        <x:v>&gt;=</x:v>
      </x:c>
      <x:c r="J4" s="16" t="str">
        <x:v>No</x:v>
      </x:c>
      <x:c r="K4" s="16" t="str">
        <x:v>Sí</x:v>
      </x:c>
      <x:c r="L4" s="16" t="str">
        <x:v>Completar ID, prioridad, fuente y BDD de los 67 requisitos.</x:v>
      </x:c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16" t="str">
        <x:v>M1b CU especificados</x:v>
      </x:c>
      <x:c r="B5" s="16" t="n">
        <x:v>19</x:v>
      </x:c>
      <x:c r="C5" s="16" t="n">
        <x:v>19</x:v>
      </x:c>
      <x:c r="D5" s="18" t="n">
        <x:f>B5/C5</x:f>
        <x:v>1</x:v>
      </x:c>
      <x:c r="E5" s="16" t="n">
        <x:v>40</x:v>
      </x:c>
      <x:c r="F5" s="16" t="n">
        <x:v>40</x:v>
      </x:c>
      <x:c r="G5" s="18" t="n">
        <x:f>E5/F5</x:f>
        <x:v>1</x:v>
      </x:c>
      <x:c r="H5" s="18" t="n">
        <x:v>1</x:v>
      </x:c>
      <x:c r="I5" s="16" t="str">
        <x:v>&gt;=</x:v>
      </x:c>
      <x:c r="J5" s="16" t="str">
        <x:v>Sí</x:v>
      </x:c>
      <x:c r="K5" s="16" t="str">
        <x:v>Sí</x:v>
      </x:c>
      <x:c r="L5" s="16" t="str">
        <x:v>Especificar textualmente CU-01 a CU-40.</x:v>
      </x:c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16" t="str">
        <x:v>M1c Cobertura actores</x:v>
      </x:c>
      <x:c r="B6" s="16" t="n">
        <x:v>3</x:v>
      </x:c>
      <x:c r="C6" s="16" t="n">
        <x:v>4</x:v>
      </x:c>
      <x:c r="D6" s="18" t="n">
        <x:f>B6/C6</x:f>
        <x:v>0.75</x:v>
      </x:c>
      <x:c r="E6" s="16" t="n">
        <x:v>5</x:v>
      </x:c>
      <x:c r="F6" s="16" t="n">
        <x:v>5</x:v>
      </x:c>
      <x:c r="G6" s="18" t="n">
        <x:f>E6/F6</x:f>
        <x:v>1</x:v>
      </x:c>
      <x:c r="H6" s="18" t="n">
        <x:v>1</x:v>
      </x:c>
      <x:c r="I6" s="16" t="str">
        <x:v>&gt;=</x:v>
      </x:c>
      <x:c r="J6" s="16" t="str">
        <x:v>No</x:v>
      </x:c>
      <x:c r="K6" s="16" t="str">
        <x:v>Sí</x:v>
      </x:c>
      <x:c r="L6" s="16" t="str">
        <x:v>Cerrar RF de Cliente y separar roles finales.</x:v>
      </x:c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16" t="str">
        <x:v>M2 Consistencia</x:v>
      </x:c>
      <x:c r="B7" s="16" t="n">
        <x:v>8</x:v>
      </x:c>
      <x:c r="C7" s="16" t="n">
        <x:v>140</x:v>
      </x:c>
      <x:c r="D7" s="18" t="n">
        <x:f>1-B7/C7</x:f>
        <x:v>0.9428571428571428</x:v>
      </x:c>
      <x:c r="E7" s="16" t="n">
        <x:v>0</x:v>
      </x:c>
      <x:c r="F7" s="16" t="n">
        <x:v>140</x:v>
      </x:c>
      <x:c r="G7" s="18" t="n">
        <x:f>1-E7/F7</x:f>
        <x:v>1</x:v>
      </x:c>
      <x:c r="H7" s="18" t="n">
        <x:v>0.98</x:v>
      </x:c>
      <x:c r="I7" s="16" t="str">
        <x:v>&gt;=</x:v>
      </x:c>
      <x:c r="J7" s="16" t="str">
        <x:v>No</x:v>
      </x:c>
      <x:c r="K7" s="16" t="str">
        <x:v>Sí</x:v>
      </x:c>
      <x:c r="L7" s="16" t="str">
        <x:v>Cerrar las ocho discrepancias y dejar 0 conflictos abiertos.</x:v>
      </x:c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16" t="str">
        <x:v>M3 Verificabilidad</x:v>
      </x:c>
      <x:c r="B8" s="16" t="n">
        <x:v>34</x:v>
      </x:c>
      <x:c r="C8" s="16" t="n">
        <x:v>40</x:v>
      </x:c>
      <x:c r="D8" s="18" t="n">
        <x:f>B8/C8</x:f>
        <x:v>0.85</x:v>
      </x:c>
      <x:c r="E8" s="16" t="n">
        <x:v>67</x:v>
      </x:c>
      <x:c r="F8" s="16" t="n">
        <x:v>67</x:v>
      </x:c>
      <x:c r="G8" s="18" t="n">
        <x:f>E8/F8</x:f>
        <x:v>1</x:v>
      </x:c>
      <x:c r="H8" s="18" t="n">
        <x:v>0.9</x:v>
      </x:c>
      <x:c r="I8" s="16" t="str">
        <x:v>&gt;=</x:v>
      </x:c>
      <x:c r="J8" s="16" t="str">
        <x:v>No</x:v>
      </x:c>
      <x:c r="K8" s="16" t="str">
        <x:v>Sí</x:v>
      </x:c>
      <x:c r="L8" s="16" t="str">
        <x:v>Sustituir BDD genéricos por resultados observables.</x:v>
      </x:c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16" t="str">
        <x:v>M4 adelante</x:v>
      </x:c>
      <x:c r="B9" s="16" t="n">
        <x:v>19</x:v>
      </x:c>
      <x:c r="C9" s="16" t="n">
        <x:v>25</x:v>
      </x:c>
      <x:c r="D9" s="18" t="n">
        <x:f>B9/C9</x:f>
        <x:v>0.76</x:v>
      </x:c>
      <x:c r="E9" s="16" t="n">
        <x:v>40</x:v>
      </x:c>
      <x:c r="F9" s="16" t="n">
        <x:v>40</x:v>
      </x:c>
      <x:c r="G9" s="18" t="n">
        <x:f>E9/F9</x:f>
        <x:v>1</x:v>
      </x:c>
      <x:c r="H9" s="18" t="n">
        <x:v>0.9</x:v>
      </x:c>
      <x:c r="I9" s="16" t="str">
        <x:v>&gt;=</x:v>
      </x:c>
      <x:c r="J9" s="16" t="str">
        <x:v>No</x:v>
      </x:c>
      <x:c r="K9" s="16" t="str">
        <x:v>Sí</x:v>
      </x:c>
      <x:c r="L9" s="16" t="str">
        <x:v>Completar RF→CU→clase→estado→BDD→CP.</x:v>
      </x:c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M4 atrás</x:v>
      </x:c>
      <x:c r="B10" s="81" t="n">
        <x:v>25</x:v>
      </x:c>
      <x:c r="C10" s="81" t="n">
        <x:v>25</x:v>
      </x:c>
      <x:c r="D10" s="83" t="n">
        <x:f>B10/C10</x:f>
        <x:v>1</x:v>
      </x:c>
      <x:c r="E10" s="81" t="n">
        <x:v>40</x:v>
      </x:c>
      <x:c r="F10" s="81" t="n">
        <x:v>40</x:v>
      </x:c>
      <x:c r="G10" s="83" t="n">
        <x:f>E10/F10</x:f>
        <x:v>1</x:v>
      </x:c>
      <x:c r="H10" s="83" t="n">
        <x:v>1</x:v>
      </x:c>
      <x:c r="I10" s="81" t="str">
        <x:v>&gt;=</x:v>
      </x:c>
      <x:c r="J10" s="81" t="str">
        <x:v>Sí</x:v>
      </x:c>
      <x:c r="K10" s="81" t="str">
        <x:v>Sí</x:v>
      </x:c>
      <x:c r="L10" s="81" t="str">
        <x:v>Conservar fuente explícita para cada RF.</x:v>
      </x:c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M5 Modificabilidad</x:v>
      </x:c>
      <x:c r="B11" s="81" t="n">
        <x:v>21</x:v>
      </x:c>
      <x:c r="C11" s="81" t="n">
        <x:v>5</x:v>
      </x:c>
      <x:c r="D11" s="83" t="n">
        <x:f>B11/C11</x:f>
        <x:v>4.2</x:v>
      </x:c>
      <x:c r="E11" s="81" t="n">
        <x:v>12</x:v>
      </x:c>
      <x:c r="F11" s="81" t="n">
        <x:v>5</x:v>
      </x:c>
      <x:c r="G11" s="83" t="n">
        <x:f>E11/F11</x:f>
        <x:v>2.4</x:v>
      </x:c>
      <x:c r="H11" s="83" t="n">
        <x:v>3</x:v>
      </x:c>
      <x:c r="I11" s="81" t="str">
        <x:v>&lt;=</x:v>
      </x:c>
      <x:c r="J11" s="81" t="str">
        <x:v>No</x:v>
      </x:c>
      <x:c r="K11" s="81" t="str">
        <x:v>Sí</x:v>
      </x:c>
      <x:c r="L11" s="81" t="str">
        <x:v>Separación modular sobre muestra de cinco requisitos.</x:v>
      </x:c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M6 Corrección</x:v>
      </x:c>
      <x:c r="B12" s="81" t="n">
        <x:v>21</x:v>
      </x:c>
      <x:c r="C12" s="81" t="n">
        <x:v>67</x:v>
      </x:c>
      <x:c r="D12" s="83" t="n">
        <x:f>B12/C12</x:f>
        <x:v>0.31343283582089554</x:v>
      </x:c>
      <x:c r="E12" s="81" t="n">
        <x:v>0</x:v>
      </x:c>
      <x:c r="F12" s="81" t="n">
        <x:v>67</x:v>
      </x:c>
      <x:c r="G12" s="83" t="n">
        <x:f>E12/F12</x:f>
        <x:v>0</x:v>
      </x:c>
      <x:c r="H12" s="83" t="n">
        <x:v>0.05</x:v>
      </x:c>
      <x:c r="I12" s="81" t="str">
        <x:v>&lt;=</x:v>
      </x:c>
      <x:c r="J12" s="81" t="str">
        <x:v>No</x:v>
      </x:c>
      <x:c r="K12" s="81" t="str">
        <x:v>Sí</x:v>
      </x:c>
      <x:c r="L12" s="81" t="str">
        <x:v>Corregir los 21 defectos editoriales registrados y verificar el cierre con 04_Auditoria_Metricas/reinspeccion_m6.py y la hoja Reinspeccion M6.</x:v>
      </x:c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mergeCells>
    <x:mergeCell ref="A1:L1"/>
    <x:mergeCell ref="A2:L2"/>
  </x:mergeCells>
  <x:conditionalFormatting sqref="J4:K9">
    <x:cfRule type="containsText" dxfId="4" priority="1" operator="containsText" text="Sí"/>
    <x:cfRule type="containsText" dxfId="5" priority="2" operator="containsText" text="No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5" hidden="0" customWidth="1"/>
    <x:col min="4" max="4" width="58" hidden="0" customWidth="1"/>
    <x:col min="5" max="5" width="70" hidden="0" customWidth="1"/>
    <x:col min="6" max="6" width="12" hidden="0" customWidth="1"/>
    <x:col min="7" max="7" width="22" hidden="0" customWidth="1"/>
    <x:col min="8" max="8" width="34" hidden="0" customWidth="1"/>
  </x:cols>
  <x:sheetData>
    <x:row r="1" ht="30" customHeight="1">
      <x:c r="A1" s="4" t="str">
        <x:v>Product backlog propuesto para FabroGym</x:v>
      </x:c>
      <x:c r="B1" s="4"/>
      <x:c r="C1" s="4"/>
      <x:c r="D1" s="4"/>
      <x:c r="E1" s="4"/>
      <x:c r="F1" s="4"/>
      <x:c r="G1" s="4"/>
      <x:c r="H1" s="4"/>
    </x:row>
    <x:row r="2">
      <x:c r="A2" s="7" t="str">
        <x:v>Reconstruido desde el ERS; no se presenta como exportación histórica de Jira o Trello.</x:v>
      </x:c>
      <x:c r="B2" s="7"/>
      <x:c r="C2" s="7"/>
      <x:c r="D2" s="7"/>
      <x:c r="E2" s="7"/>
      <x:c r="F2" s="7"/>
      <x:c r="G2" s="7"/>
      <x:c r="H2" s="7"/>
    </x:row>
    <x:row r="3" ht="30" customHeight="1">
      <x:c r="A3" s="13" t="str">
        <x:v>Clave</x:v>
      </x:c>
      <x:c r="B3" s="13" t="str">
        <x:v>Épica</x:v>
      </x:c>
      <x:c r="C3" s="13" t="str">
        <x:v>RF</x:v>
      </x:c>
      <x:c r="D3" s="13" t="str">
        <x:v>Historia de usuario</x:v>
      </x:c>
      <x:c r="E3" s="13" t="str">
        <x:v>Criterio de aceptación</x:v>
      </x:c>
      <x:c r="F3" s="13" t="str">
        <x:v>Prioridad</x:v>
      </x:c>
      <x:c r="G3" s="13" t="str">
        <x:v>Estado</x:v>
      </x:c>
      <x:c r="H3" s="13" t="str">
        <x:v>Fuente</x:v>
      </x:c>
    </x:row>
    <x:row r="4">
      <x:c r="A4" s="16" t="str">
        <x:v>PFC-001</x:v>
      </x:c>
      <x:c r="B4" s="16" t="str">
        <x:v>Acceso y seguridad</x:v>
      </x:c>
      <x:c r="C4" s="16" t="str">
        <x:v>RF-AUT-01</x:v>
      </x:c>
      <x:c r="D4" s="16" t="str">
        <x:v>Como Personal autorizado, quiero autenticar usuario para proteger las operaciones y conservar trazabilidad.</x:v>
      </x:c>
      <x:c r="E4" s="16" t="str">
        <x:v>Dado que personal autorizado posee autorización y datos válidos, cuando solicite autenticar usuario, entonces el sistema ejecutará la operación descrita, mostrará un resultado observable y conservará la trazabilidad correspondiente.</x:v>
      </x:c>
      <x:c r="F4" s="16" t="str">
        <x:v>Must</x:v>
      </x:c>
      <x:c r="G4" s="16" t="str">
        <x:v>Listo para revisión</x:v>
      </x:c>
      <x:c r="H4" s="16" t="str">
        <x:v>EV-ENTR02-07</x:v>
      </x:c>
    </x:row>
    <x:row r="5">
      <x:c r="A5" s="16" t="str">
        <x:v>PFC-002</x:v>
      </x:c>
      <x:c r="B5" s="16" t="str">
        <x:v>Acceso y seguridad</x:v>
      </x:c>
      <x:c r="C5" s="16" t="str">
        <x:v>RF-AUT-02</x:v>
      </x:c>
      <x:c r="D5" s="16" t="str">
        <x:v>Como Administrador, quiero aplicar permisos por rol para proteger las operaciones y conservar trazabilidad.</x:v>
      </x:c>
      <x:c r="E5" s="16" t="str">
        <x:v>Dado que administrador posee autorización y datos válidos, cuando solicite aplicar permisos por rol, entonces el sistema ejecutará la operación descrita, mostrará un resultado observable y conservará la trazabilidad correspondiente.</x:v>
      </x:c>
      <x:c r="F5" s="16" t="str">
        <x:v>Must</x:v>
      </x:c>
      <x:c r="G5" s="16" t="str">
        <x:v>Listo para revisión</x:v>
      </x:c>
      <x:c r="H5" s="16" t="str">
        <x:v>EV-ENTR02-07;EV-ENTR03-06;EV-ENTR08-04</x:v>
      </x:c>
    </x:row>
    <x:row r="6">
      <x:c r="A6" s="16" t="str">
        <x:v>PFC-003</x:v>
      </x:c>
      <x:c r="B6" s="16" t="str">
        <x:v>Acceso y seguridad</x:v>
      </x:c>
      <x:c r="C6" s="16" t="str">
        <x:v>RF-AUT-03</x:v>
      </x:c>
      <x:c r="D6" s="16" t="str">
        <x:v>Como Administrador, quiero auditar cambios criticos para proteger las operaciones y conservar trazabilidad.</x:v>
      </x:c>
      <x:c r="E6" s="16" t="str">
        <x:v>Dado que administrador posee autorización y datos válidos, cuando solicite auditar cambios criticos, entonces el sistema ejecutará la operación descrita, mostrará un resultado observable y conservará la trazabilidad correspondiente.</x:v>
      </x:c>
      <x:c r="F6" s="16" t="str">
        <x:v>Should</x:v>
      </x:c>
      <x:c r="G6" s="16" t="str">
        <x:v>Listo para revisión</x:v>
      </x:c>
      <x:c r="H6" s="16" t="str">
        <x:v>EV-ENTR02-04;EV-ENTR02-07;EV-ENTR03-06</x:v>
      </x:c>
    </x:row>
    <x:row r="7">
      <x:c r="A7" s="16" t="str">
        <x:v>PFC-004</x:v>
      </x:c>
      <x:c r="B7" s="16" t="str">
        <x:v>Clientes</x:v>
      </x:c>
      <x:c r="C7" s="16" t="str">
        <x:v>RF-CLI-01</x:v>
      </x:c>
      <x:c r="D7" s="16" t="str">
        <x:v>Como Recepcion, quiero registrar cliente minimo para mantener registros únicos y consultables.</x:v>
      </x:c>
      <x:c r="E7" s="16" t="str">
        <x:v>Dado que recepcion posee autorización y datos válidos, cuando solicite registrar cliente minimo, entonces el sistema ejecutará la operación descrita, mostrará un resultado observable y conservará la trazabilidad correspondiente.</x:v>
      </x:c>
      <x:c r="F7" s="16" t="str">
        <x:v>Must</x:v>
      </x:c>
      <x:c r="G7" s="16" t="str">
        <x:v>Listo para revisión</x:v>
      </x:c>
      <x:c r="H7" s="16" t="str">
        <x:v>EV-ENTR01-02;EV-ENTR02-02;EV-ENTR03-02;EV-ENTR08-01</x:v>
      </x:c>
    </x:row>
    <x:row r="8">
      <x:c r="A8" s="16" t="str">
        <x:v>PFC-005</x:v>
      </x:c>
      <x:c r="B8" s="16" t="str">
        <x:v>Clientes</x:v>
      </x:c>
      <x:c r="C8" s="16" t="str">
        <x:v>RF-CLI-02</x:v>
      </x:c>
      <x:c r="D8" s="16" t="str">
        <x:v>Como Recepcion, quiero buscar y consultar cliente para mantener registros únicos y consultables.</x:v>
      </x:c>
      <x:c r="E8" s="16" t="str">
        <x:v>Dado que recepcion posee autorización y datos válidos, cuando solicite buscar y consultar cliente, entonces el sistema ejecutará la operación descrita, mostrará un resultado observable y conservará la trazabilidad correspondiente.</x:v>
      </x:c>
      <x:c r="F8" s="16" t="str">
        <x:v>Must</x:v>
      </x:c>
      <x:c r="G8" s="16" t="str">
        <x:v>Listo para revisión</x:v>
      </x:c>
      <x:c r="H8" s="16" t="str">
        <x:v>EV-ENTR02-03;EV-ENTR02-08;EV-ENTR08-05</x:v>
      </x:c>
    </x:row>
    <x:row r="9">
      <x:c r="A9" s="16" t="str">
        <x:v>PFC-006</x:v>
      </x:c>
      <x:c r="B9" s="16" t="str">
        <x:v>Clientes</x:v>
      </x:c>
      <x:c r="C9" s="16" t="str">
        <x:v>RF-CLI-03</x:v>
      </x:c>
      <x:c r="D9" s="16" t="str">
        <x:v>Como Recepcion, quiero actualizar o reactivar sin duplicar para mantener registros únicos y consultables.</x:v>
      </x:c>
      <x:c r="E9" s="16" t="str">
        <x:v>Dado que recepcion posee autorización y datos válidos, cuando solicite actualizar o reactivar sin duplicar, entonces el sistema ejecutará la operación descrita, mostrará un resultado observable y conservará la trazabilidad correspondiente.</x:v>
      </x:c>
      <x:c r="F9" s="16" t="str">
        <x:v>Must</x:v>
      </x:c>
      <x:c r="G9" s="16" t="str">
        <x:v>Listo para revisión</x:v>
      </x:c>
      <x:c r="H9" s="16" t="str">
        <x:v>EV-ENTR02-02;EV-ENTR03-02;EV-ENTR04-01;EV-ENTR05-02</x:v>
      </x:c>
    </x:row>
    <x:row r="10">
      <x:c r="A10" s="16" t="str">
        <x:v>PFC-007</x:v>
      </x:c>
      <x:c r="B10" s="16" t="str">
        <x:v>Membresías</x:v>
      </x:c>
      <x:c r="C10" s="16" t="str">
        <x:v>RF-MEM-01</x:v>
      </x:c>
      <x:c r="D10" s="16" t="str">
        <x:v>Como Administrador, quiero configurar planes y promociones para controlar la vigencia del servicio.</x:v>
      </x:c>
      <x:c r="E10" s="16" t="str">
        <x:v>Dado que administrador posee autorización y datos válidos, cuando solicite configurar planes y promociones, entonces el sistema ejecutará la operación descrita, mostrará un resultado observable y conservará la trazabilidad correspondiente.</x:v>
      </x:c>
      <x:c r="F10" s="16" t="str">
        <x:v>Must</x:v>
      </x:c>
      <x:c r="G10" s="16" t="str">
        <x:v>Listo para revisión</x:v>
      </x:c>
      <x:c r="H10" s="16" t="str">
        <x:v>EV-ENTR02-01;EV-ENTR04-01</x:v>
      </x:c>
    </x:row>
    <x:row r="11">
      <x:c r="A11" s="16" t="str">
        <x:v>PFC-008</x:v>
      </x:c>
      <x:c r="B11" s="16" t="str">
        <x:v>Membresías</x:v>
      </x:c>
      <x:c r="C11" s="16" t="str">
        <x:v>RF-MEM-02</x:v>
      </x:c>
      <x:c r="D11" s="16" t="str">
        <x:v>Como Recepcion, quiero activar o renovar membresia para controlar la vigencia del servicio.</x:v>
      </x:c>
      <x:c r="E11" s="16" t="str">
        <x:v>Dado que recepcion posee autorización y datos válidos, cuando solicite activar o renovar membresia, entonces el sistema ejecutará la operación descrita, mostrará un resultado observable y conservará la trazabilidad correspondiente.</x:v>
      </x:c>
      <x:c r="F11" s="16" t="str">
        <x:v>Must</x:v>
      </x:c>
      <x:c r="G11" s="16" t="str">
        <x:v>Listo para revisión</x:v>
      </x:c>
      <x:c r="H11" s="16" t="str">
        <x:v>EV-ENTR01-02;EV-ENTR02-04;EV-ENTR03-01;EV-ENTR04-03</x:v>
      </x:c>
    </x:row>
    <x:row r="12">
      <x:c r="A12" s="16" t="str">
        <x:v>PFC-009</x:v>
      </x:c>
      <x:c r="B12" s="16" t="str">
        <x:v>Membresías</x:v>
      </x:c>
      <x:c r="C12" s="16" t="str">
        <x:v>RF-MEM-03</x:v>
      </x:c>
      <x:c r="D12" s="16" t="str">
        <x:v>Como Personal autorizado, quiero consultar vigencia para controlar la vigencia del servicio.</x:v>
      </x:c>
      <x:c r="E12" s="16" t="str">
        <x:v>Dado que personal autorizado posee autorización y datos válidos, cuando solicite consultar vigencia, entonces el sistema ejecutará la operación descrita, mostrará un resultado observable y conservará la trazabilidad correspondiente.</x:v>
      </x:c>
      <x:c r="F12" s="16" t="str">
        <x:v>Must</x:v>
      </x:c>
      <x:c r="G12" s="16" t="str">
        <x:v>Listo para revisión</x:v>
      </x:c>
      <x:c r="H12" s="16" t="str">
        <x:v>EV-ENTR01-03;EV-ENTR02-03;EV-ENTR03-03;EV-ENTR08-02</x:v>
      </x:c>
    </x:row>
    <x:row r="13">
      <x:c r="A13" s="16" t="str">
        <x:v>PFC-010</x:v>
      </x:c>
      <x:c r="B13" s="16" t="str">
        <x:v>Membresías</x:v>
      </x:c>
      <x:c r="C13" s="16" t="str">
        <x:v>RF-MEM-04</x:v>
      </x:c>
      <x:c r="D13" s="16" t="str">
        <x:v>Como Recepcion, quiero alertar vencimientos para controlar la vigencia del servicio.</x:v>
      </x:c>
      <x:c r="E13" s="16" t="str">
        <x:v>Dado que recepcion posee autorización y datos válidos, cuando solicite alertar vencimientos, entonces el sistema ejecutará la operación descrita, mostrará un resultado observable y conservará la trazabilidad correspondiente.</x:v>
      </x:c>
      <x:c r="F13" s="16" t="str">
        <x:v>Must</x:v>
      </x:c>
      <x:c r="G13" s="16" t="str">
        <x:v>Listo para revisión</x:v>
      </x:c>
      <x:c r="H13" s="16" t="str">
        <x:v>EV-ENTR01-03;EV-ENTR05-02;EV-ENTR07-02</x:v>
      </x:c>
    </x:row>
    <x:row r="14">
      <x:c r="A14" s="16" t="str">
        <x:v>PFC-011</x:v>
      </x:c>
      <x:c r="B14" s="16" t="str">
        <x:v>Pagos</x:v>
      </x:c>
      <x:c r="C14" s="16" t="str">
        <x:v>RF-PAG-01</x:v>
      </x:c>
      <x:c r="D14" s="16" t="str">
        <x:v>Como Recepcion, quiero registrar pago y comprobante para mantener pagos verificables.</x:v>
      </x:c>
      <x:c r="E14" s="16" t="str">
        <x:v>Dado que recepcion posee autorización y datos válidos, cuando solicite registrar pago y comprobante, entonces el sistema ejecutará la operación descrita, mostrará un resultado observable y conservará la trazabilidad correspondiente.</x:v>
      </x:c>
      <x:c r="F14" s="16" t="str">
        <x:v>Must</x:v>
      </x:c>
      <x:c r="G14" s="16" t="str">
        <x:v>Listo para revisión</x:v>
      </x:c>
      <x:c r="H14" s="16" t="str">
        <x:v>EV-ENTR01-02;EV-ENTR02-04;EV-ENTR03-04;EV-ENTR07-02;EV-ENTR08-03</x:v>
      </x:c>
    </x:row>
    <x:row r="15">
      <x:c r="A15" s="16" t="str">
        <x:v>PFC-012</x:v>
      </x:c>
      <x:c r="B15" s="16" t="str">
        <x:v>Pagos</x:v>
      </x:c>
      <x:c r="C15" s="16" t="str">
        <x:v>RF-PAG-02</x:v>
      </x:c>
      <x:c r="D15" s="16" t="str">
        <x:v>Como Administrador, quiero resolver pago pendiente para mantener pagos verificables.</x:v>
      </x:c>
      <x:c r="E15" s="16" t="str">
        <x:v>Dado que administrador posee autorización y datos válidos, cuando solicite resolver pago pendiente, entonces el sistema ejecutará la operación descrita, mostrará un resultado observable y conservará la trazabilidad correspondiente.</x:v>
      </x:c>
      <x:c r="F15" s="16" t="str">
        <x:v>Should</x:v>
      </x:c>
      <x:c r="G15" s="16" t="str">
        <x:v>Listo para revisión</x:v>
      </x:c>
      <x:c r="H15" s="16" t="str">
        <x:v>EV-ENTR02-04;EV-ENTR03-04;EV-ENTR07-07</x:v>
      </x:c>
    </x:row>
    <x:row r="16">
      <x:c r="A16" s="16" t="str">
        <x:v>PFC-013</x:v>
      </x:c>
      <x:c r="B16" s="16" t="str">
        <x:v>Asistencias</x:v>
      </x:c>
      <x:c r="C16" s="16" t="str">
        <x:v>RF-ASI-01</x:v>
      </x:c>
      <x:c r="D16" s="16" t="str">
        <x:v>Como Recepcion, quiero registrar asistencia para registrar el uso del gimnasio.</x:v>
      </x:c>
      <x:c r="E16" s="16" t="str">
        <x:v>Dado que recepcion posee autorización y datos válidos, cuando solicite registrar asistencia, entonces el sistema ejecutará la operación descrita, mostrará un resultado observable y conservará la trazabilidad correspondiente.</x:v>
      </x:c>
      <x:c r="F16" s="16" t="str">
        <x:v>Must</x:v>
      </x:c>
      <x:c r="G16" s="16" t="str">
        <x:v>Listo para revisión</x:v>
      </x:c>
      <x:c r="H16" s="16" t="str">
        <x:v>EV-ENTR02-03;EV-ENTR03-03;EV-ENTR04-02;EV-ENTR07-07;EV-ENTR08-02</x:v>
      </x:c>
    </x:row>
    <x:row r="17">
      <x:c r="A17" s="16" t="str">
        <x:v>PFC-014</x:v>
      </x:c>
      <x:c r="B17" s="16" t="str">
        <x:v>Asistencias</x:v>
      </x:c>
      <x:c r="C17" s="16" t="str">
        <x:v>RF-ASI-02</x:v>
      </x:c>
      <x:c r="D17" s="16" t="str">
        <x:v>Como Personal autorizado, quiero consultar asistencia para registrar el uso del gimnasio.</x:v>
      </x:c>
      <x:c r="E17" s="16" t="str">
        <x:v>Dado que personal autorizado posee autorización y datos válidos, cuando solicite consultar asistencia, entonces el sistema ejecutará la operación descrita, mostrará un resultado observable y conservará la trazabilidad correspondiente.</x:v>
      </x:c>
      <x:c r="F17" s="16" t="str">
        <x:v>Must</x:v>
      </x:c>
      <x:c r="G17" s="16" t="str">
        <x:v>Listo para revisión</x:v>
      </x:c>
      <x:c r="H17" s="16" t="str">
        <x:v>EV-ENTR03-01;EV-ENTR07-01;EV-ENTR08-05;EV-ENTR09-06</x:v>
      </x:c>
    </x:row>
    <x:row r="18">
      <x:c r="A18" s="16" t="str">
        <x:v>PFC-015</x:v>
      </x:c>
      <x:c r="B18" s="16" t="str">
        <x:v>Inventario</x:v>
      </x:c>
      <x:c r="C18" s="16" t="str">
        <x:v>RF-INV-01</x:v>
      </x:c>
      <x:c r="D18" s="16" t="str">
        <x:v>Como Administrador, quiero administrar productos para mantener existencias consistentes.</x:v>
      </x:c>
      <x:c r="E18" s="16" t="str">
        <x:v>Dado que administrador posee autorización y datos válidos, cuando solicite administrar productos, entonces el sistema ejecutará la operación descrita, mostrará un resultado observable y conservará la trazabilidad correspondiente.</x:v>
      </x:c>
      <x:c r="F18" s="16" t="str">
        <x:v>Must</x:v>
      </x:c>
      <x:c r="G18" s="16" t="str">
        <x:v>Listo para revisión</x:v>
      </x:c>
      <x:c r="H18" s="16" t="str">
        <x:v>EV-ENTR01-01;EV-ENTR02-05</x:v>
      </x:c>
    </x:row>
    <x:row r="19">
      <x:c r="A19" s="16" t="str">
        <x:v>PFC-016</x:v>
      </x:c>
      <x:c r="B19" s="16" t="str">
        <x:v>Inventario</x:v>
      </x:c>
      <x:c r="C19" s="16" t="str">
        <x:v>RF-INV-02</x:v>
      </x:c>
      <x:c r="D19" s="16" t="str">
        <x:v>Como Personal autorizado, quiero registrar movimientos de stock para mantener existencias consistentes.</x:v>
      </x:c>
      <x:c r="E19" s="16" t="str">
        <x:v>Dado que personal autorizado posee autorización y datos válidos, cuando solicite registrar movimientos de stock, entonces el sistema ejecutará la operación descrita, mostrará un resultado observable y conservará la trazabilidad correspondiente.</x:v>
      </x:c>
      <x:c r="F19" s="16" t="str">
        <x:v>Must</x:v>
      </x:c>
      <x:c r="G19" s="16" t="str">
        <x:v>Listo para revisión</x:v>
      </x:c>
      <x:c r="H19" s="16" t="str">
        <x:v>EV-ENTR01-04;EV-ENTR04-04;EV-ENTR07-03</x:v>
      </x:c>
    </x:row>
    <x:row r="20">
      <x:c r="A20" s="16" t="str">
        <x:v>PFC-017</x:v>
      </x:c>
      <x:c r="B20" s="16" t="str">
        <x:v>Ventas</x:v>
      </x:c>
      <x:c r="C20" s="16" t="str">
        <x:v>RF-VEN-01</x:v>
      </x:c>
      <x:c r="D20" s="16" t="str">
        <x:v>Como Recepcion, quiero registrar venta para integrar venta, pago y stock.</x:v>
      </x:c>
      <x:c r="E20" s="16" t="str">
        <x:v>Dado que recepcion posee autorización y datos válidos, cuando solicite registrar venta, entonces el sistema ejecutará la operación descrita, mostrará un resultado observable y conservará la trazabilidad correspondiente.</x:v>
      </x:c>
      <x:c r="F20" s="16" t="str">
        <x:v>Must</x:v>
      </x:c>
      <x:c r="G20" s="16" t="str">
        <x:v>Listo para revisión</x:v>
      </x:c>
      <x:c r="H20" s="16" t="str">
        <x:v>EV-ENTR02-05;EV-ENTR03-01;EV-ENTR04-04;EV-ENTR07-03;EV-ENTR08-03</x:v>
      </x:c>
    </x:row>
    <x:row r="21">
      <x:c r="A21" s="16" t="str">
        <x:v>PFC-018</x:v>
      </x:c>
      <x:c r="B21" s="16" t="str">
        <x:v>Inventario</x:v>
      </x:c>
      <x:c r="C21" s="16" t="str">
        <x:v>RF-INV-03</x:v>
      </x:c>
      <x:c r="D21" s="16" t="str">
        <x:v>Como Administrador, quiero alertar stock y rotacion para mantener existencias consistentes.</x:v>
      </x:c>
      <x:c r="E21" s="16" t="str">
        <x:v>Dado que administrador posee autorización y datos válidos, cuando solicite alertar stock y rotacion, entonces el sistema ejecutará la operación descrita, mostrará un resultado observable y conservará la trazabilidad correspondiente.</x:v>
      </x:c>
      <x:c r="F21" s="16" t="str">
        <x:v>Should</x:v>
      </x:c>
      <x:c r="G21" s="16" t="str">
        <x:v>Listo para revisión</x:v>
      </x:c>
      <x:c r="H21" s="16" t="str">
        <x:v>EV-ENTR01-04;EV-ENTR02-05;EV-ENTR05-04;EV-ENTR06-04</x:v>
      </x:c>
    </x:row>
    <x:row r="22">
      <x:c r="A22" s="16" t="str">
        <x:v>PFC-019</x:v>
      </x:c>
      <x:c r="B22" s="16" t="str">
        <x:v>Caja</x:v>
      </x:c>
      <x:c r="C22" s="16" t="str">
        <x:v>RF-CAJ-01</x:v>
      </x:c>
      <x:c r="D22" s="16" t="str">
        <x:v>Como Recepcion, quiero cerrar turno y conciliar caja para cerrar el turno con diferencias visibles.</x:v>
      </x:c>
      <x:c r="E22" s="16" t="str">
        <x:v>Dado que recepcion posee autorización y datos válidos, cuando solicite cerrar turno y conciliar caja, entonces el sistema ejecutará la operación descrita, mostrará un resultado observable y conservará la trazabilidad correspondiente.</x:v>
      </x:c>
      <x:c r="F22" s="16" t="str">
        <x:v>Must</x:v>
      </x:c>
      <x:c r="G22" s="16" t="str">
        <x:v>Listo para revisión</x:v>
      </x:c>
      <x:c r="H22" s="16" t="str">
        <x:v>EV-ENTR02-01;EV-ENTR02-06;EV-ENTR03-05;EV-ENTR04-05;EV-ENTR07-03;EV-ENTR08-04</x:v>
      </x:c>
    </x:row>
    <x:row r="23">
      <x:c r="A23" s="16" t="str">
        <x:v>PFC-020</x:v>
      </x:c>
      <x:c r="B23" s="16" t="str">
        <x:v>Novedades</x:v>
      </x:c>
      <x:c r="C23" s="16" t="str">
        <x:v>RF-NOV-01</x:v>
      </x:c>
      <x:c r="D23" s="16" t="str">
        <x:v>Como Personal autorizado, quiero gestionar novedades internas para dar seguimiento a incidencias.</x:v>
      </x:c>
      <x:c r="E23" s="16" t="str">
        <x:v>Dado que personal autorizado posee autorización y datos válidos, cuando solicite gestionar novedades internas, entonces el sistema ejecutará la operación descrita, mostrará un resultado observable y conservará la trazabilidad correspondiente.</x:v>
      </x:c>
      <x:c r="F23" s="16" t="str">
        <x:v>Must</x:v>
      </x:c>
      <x:c r="G23" s="16" t="str">
        <x:v>Listo para revisión</x:v>
      </x:c>
      <x:c r="H23" s="16" t="str">
        <x:v>EV-ENTR02-01;EV-ENTR02-08;EV-ENTR03-07;EV-ENTR04-06;EV-ENTR05-01</x:v>
      </x:c>
    </x:row>
    <x:row r="24">
      <x:c r="A24" s="16" t="str">
        <x:v>PFC-021</x:v>
      </x:c>
      <x:c r="B24" s="16" t="str">
        <x:v>Instructores</x:v>
      </x:c>
      <x:c r="C24" s="16" t="str">
        <x:v>RF-INS-01</x:v>
      </x:c>
      <x:c r="D24" s="16" t="str">
        <x:v>Como Administrador, quiero gestionar horario y disponibilidad de instructor para coordinar la disponibilidad del personal.</x:v>
      </x:c>
      <x:c r="E24" s="16" t="str">
        <x:v>Dado que administrador posee autorización y datos válidos, cuando solicite gestionar horario y disponibilidad de instructor, entonces el sistema ejecutará la operación descrita, mostrará un resultado observable y conservará la trazabilidad correspondiente.</x:v>
      </x:c>
      <x:c r="F24" s="16" t="str">
        <x:v>Should</x:v>
      </x:c>
      <x:c r="G24" s="16" t="str">
        <x:v>Listo para revisión</x:v>
      </x:c>
      <x:c r="H24" s="16" t="str">
        <x:v>EV-ENTR07-06;EV-ENTR09-03;EV-ENTR10-02</x:v>
      </x:c>
    </x:row>
    <x:row r="25">
      <x:c r="A25" s="16" t="str">
        <x:v>PFC-022</x:v>
      </x:c>
      <x:c r="B25" s="16" t="str">
        <x:v>Rutinas</x:v>
      </x:c>
      <x:c r="C25" s="16" t="str">
        <x:v>RF-RUT-01</x:v>
      </x:c>
      <x:c r="D25" s="16" t="str">
        <x:v>Como Instructor, quiero crear y asignar rutina para personalizar y consultar el entrenamiento.</x:v>
      </x:c>
      <x:c r="E25" s="16" t="str">
        <x:v>Dado que instructor posee autorización y datos válidos, cuando solicite crear y asignar rutina, entonces el sistema ejecutará la operación descrita, mostrará un resultado observable y conservará la trazabilidad correspondiente.</x:v>
      </x:c>
      <x:c r="F25" s="16" t="str">
        <x:v>Must</x:v>
      </x:c>
      <x:c r="G25" s="16" t="str">
        <x:v>Listo para revisión</x:v>
      </x:c>
      <x:c r="H25" s="16" t="str">
        <x:v>EV-ENTR01-05;EV-ENTR05-04;EV-ENTR09-01;EV-ENTR09-02;EV-ENTR09-03</x:v>
      </x:c>
    </x:row>
    <x:row r="26">
      <x:c r="A26" s="16" t="str">
        <x:v>PFC-023</x:v>
      </x:c>
      <x:c r="B26" s="16" t="str">
        <x:v>Rutinas</x:v>
      </x:c>
      <x:c r="C26" s="16" t="str">
        <x:v>RF-RUT-02</x:v>
      </x:c>
      <x:c r="D26" s="16" t="str">
        <x:v>Como Instructor, quiero versionar y ajustar rutina para personalizar y consultar el entrenamiento.</x:v>
      </x:c>
      <x:c r="E26" s="16" t="str">
        <x:v>Dado que instructor posee autorización y datos válidos, cuando solicite versionar y ajustar rutina, entonces el sistema ejecutará la operación descrita, mostrará un resultado observable y conservará la trazabilidad correspondiente.</x:v>
      </x:c>
      <x:c r="F26" s="16" t="str">
        <x:v>Must</x:v>
      </x:c>
      <x:c r="G26" s="16" t="str">
        <x:v>Listo para revisión</x:v>
      </x:c>
      <x:c r="H26" s="16" t="str">
        <x:v>EV-ENTR01-05;EV-ENTR09-01;EV-ENTR09-04;EV-ENTR10-01;EV-ENTR10-03</x:v>
      </x:c>
    </x:row>
    <x:row r="27">
      <x:c r="A27" s="16" t="str">
        <x:v>PFC-024</x:v>
      </x:c>
      <x:c r="B27" s="16" t="str">
        <x:v>Rutinas</x:v>
      </x:c>
      <x:c r="C27" s="16" t="str">
        <x:v>RF-RUT-03</x:v>
      </x:c>
      <x:c r="D27" s="16" t="str">
        <x:v>Como Instructor, quiero registrar seguimiento operativo para personalizar y consultar el entrenamiento.</x:v>
      </x:c>
      <x:c r="E27" s="16" t="str">
        <x:v>Dado que instructor posee autorización y datos válidos, cuando solicite registrar seguimiento operativo, entonces el sistema ejecutará la operación descrita, mostrará un resultado observable y conservará la trazabilidad correspondiente.</x:v>
      </x:c>
      <x:c r="F27" s="16" t="str">
        <x:v>Should</x:v>
      </x:c>
      <x:c r="G27" s="16" t="str">
        <x:v>Listo para revisión</x:v>
      </x:c>
      <x:c r="H27" s="16" t="str">
        <x:v>EV-ENTR09-04;EV-ENTR09-05;EV-ENTR09-06;EV-ENTR10-03;EV-ENTR10-04</x:v>
      </x:c>
    </x:row>
    <x:row r="28">
      <x:c r="A28" s="16" t="str">
        <x:v>PFC-025</x:v>
      </x:c>
      <x:c r="B28" s="16" t="str">
        <x:v>Reportes</x:v>
      </x:c>
      <x:c r="C28" s="16" t="str">
        <x:v>RF-REP-01</x:v>
      </x:c>
      <x:c r="D28" s="16" t="str">
        <x:v>Como Administrador, quiero consultar panel y reportes para tomar decisiones con información reproducible.</x:v>
      </x:c>
      <x:c r="E28" s="16" t="str">
        <x:v>Dado que administrador posee autorización y datos válidos, cuando solicite consultar panel y reportes, entonces el sistema ejecutará la operación descrita, mostrará un resultado observable y conservará la trazabilidad correspondiente.</x:v>
      </x:c>
      <x:c r="F28" s="16" t="str">
        <x:v>Should</x:v>
      </x:c>
      <x:c r="G28" s="16" t="str">
        <x:v>Listo para revisión</x:v>
      </x:c>
      <x:c r="H28" s="16" t="str">
        <x:v>EV-ENTR01-05;EV-ENTR05-05;EV-ENTR06-04;EV-ENTR07-04;EV-ENTR08-05;EV-ENTR09-05</x:v>
      </x:c>
    </x:row>
    <x:row r="29">
      <x:c r="A29" s="16" t="str">
        <x:v>PFC-026</x:v>
      </x:c>
      <x:c r="B29" s="16" t="str">
        <x:v>Membresías</x:v>
      </x:c>
      <x:c r="C29" s="16" t="str">
        <x:v>RF-MEM-05</x:v>
      </x:c>
      <x:c r="D29" s="16" t="str">
        <x:v>Como Cliente, quiero consultar mi membresía para controlar la vigencia del servicio.</x:v>
      </x:c>
      <x:c r="E29" s="16" t="str">
        <x:v>Dado que cliente posee autorización y datos válidos, cuando solicite consultar mi membresía, entonces el sistema ejecutará la operación descrita, mostrará un resultado observable y conservará la trazabilidad correspondiente.</x:v>
      </x:c>
      <x:c r="F29" s="16" t="str">
        <x:v>Must</x:v>
      </x:c>
      <x:c r="G29" s="16" t="str">
        <x:v>Listo para revisión</x:v>
      </x:c>
      <x:c r="H29" s="16" t="str">
        <x:v>EV-VT-T02-12; MU-63</x:v>
      </x:c>
    </x:row>
    <x:row r="30">
      <x:c r="A30" s="16" t="str">
        <x:v>PFC-027</x:v>
      </x:c>
      <x:c r="B30" s="16" t="str">
        <x:v>Pagos</x:v>
      </x:c>
      <x:c r="C30" s="16" t="str">
        <x:v>RF-PAG-03</x:v>
      </x:c>
      <x:c r="D30" s="16" t="str">
        <x:v>Como Cliente, quiero consultar mis pagos para mantener pagos verificables.</x:v>
      </x:c>
      <x:c r="E30" s="16" t="str">
        <x:v>Dado que cliente posee autorización y datos válidos, cuando solicite consultar mis pagos, entonces el sistema ejecutará la operación descrita, mostrará un resultado observable y conservará la trazabilidad correspondiente.</x:v>
      </x:c>
      <x:c r="F30" s="16" t="str">
        <x:v>Must</x:v>
      </x:c>
      <x:c r="G30" s="16" t="str">
        <x:v>Listo para revisión</x:v>
      </x:c>
      <x:c r="H30" s="16" t="str">
        <x:v>EV-VT-T02-12</x:v>
      </x:c>
    </x:row>
    <x:row r="31">
      <x:c r="A31" s="16" t="str">
        <x:v>PFC-028</x:v>
      </x:c>
      <x:c r="B31" s="16" t="str">
        <x:v>Rutinas</x:v>
      </x:c>
      <x:c r="C31" s="16" t="str">
        <x:v>RF-RUT-04</x:v>
      </x:c>
      <x:c r="D31" s="16" t="str">
        <x:v>Como Cliente, quiero consultar mi rutina e historial para personalizar y consultar el entrenamiento.</x:v>
      </x:c>
      <x:c r="E31" s="16" t="str">
        <x:v>Dado que cliente posee autorización y datos válidos, cuando solicite consultar mi rutina e historial, entonces el sistema ejecutará la operación descrita, mostrará un resultado observable y conservará la trazabilidad correspondiente.</x:v>
      </x:c>
      <x:c r="F31" s="16" t="str">
        <x:v>Must</x:v>
      </x:c>
      <x:c r="G31" s="16" t="str">
        <x:v>Listo para revisión</x:v>
      </x:c>
      <x:c r="H31" s="16" t="str">
        <x:v>EV-VT-T01-06; EV-VT-T01-08; EV-VT-T02-04</x:v>
      </x:c>
    </x:row>
    <x:row r="32">
      <x:c r="A32" s="16" t="str">
        <x:v>PFC-029</x:v>
      </x:c>
      <x:c r="B32" s="16" t="str">
        <x:v>Inventario</x:v>
      </x:c>
      <x:c r="C32" s="16" t="str">
        <x:v>RF-INV-04</x:v>
      </x:c>
      <x:c r="D32" s="16" t="str">
        <x:v>Como Dueño, quiero gestionar categorías de productos para mantener existencias consistentes.</x:v>
      </x:c>
      <x:c r="E32" s="16" t="str">
        <x:v>Dado que dueño posee autorización y datos válidos, cuando solicite gestionar categorías de productos, entonces el sistema ejecutará la operación descrita, mostrará un resultado observable y conservará la trazabilidad correspondiente.</x:v>
      </x:c>
      <x:c r="F32" s="16" t="str">
        <x:v>Should</x:v>
      </x:c>
      <x:c r="G32" s="16" t="str">
        <x:v>Listo para revisión</x:v>
      </x:c>
      <x:c r="H32" s="16" t="str">
        <x:v>EV-VT-T03-06</x:v>
      </x:c>
    </x:row>
    <x:row r="33">
      <x:c r="A33" s="16" t="str">
        <x:v>PFC-030</x:v>
      </x:c>
      <x:c r="B33" s="16" t="str">
        <x:v>Inventario</x:v>
      </x:c>
      <x:c r="C33" s="16" t="str">
        <x:v>RF-INV-05</x:v>
      </x:c>
      <x:c r="D33" s="16" t="str">
        <x:v>Como Dueño, quiero gestionar proveedores para mantener existencias consistentes.</x:v>
      </x:c>
      <x:c r="E33" s="16" t="str">
        <x:v>Dado que dueño posee autorización y datos válidos, cuando solicite gestionar proveedores, entonces el sistema ejecutará la operación descrita, mostrará un resultado observable y conservará la trazabilidad correspondiente.</x:v>
      </x:c>
      <x:c r="F33" s="16" t="str">
        <x:v>Should</x:v>
      </x:c>
      <x:c r="G33" s="16" t="str">
        <x:v>Listo para revisión</x:v>
      </x:c>
      <x:c r="H33" s="16" t="str">
        <x:v>EV-VT-T03-06; EV-VT-T01-10</x:v>
      </x:c>
    </x:row>
    <x:row r="34">
      <x:c r="A34" s="16" t="str">
        <x:v>PFC-031</x:v>
      </x:c>
      <x:c r="B34" s="16" t="str">
        <x:v>Configuración</x:v>
      </x:c>
      <x:c r="C34" s="16" t="str">
        <x:v>RF-CFG-01</x:v>
      </x:c>
      <x:c r="D34" s="16" t="str">
        <x:v>Como Dueño, quiero configurar tratamiento de iva para adaptar reglas sin modificar código.</x:v>
      </x:c>
      <x:c r="E34" s="16" t="str">
        <x:v>Dado que dueño posee autorización y datos válidos, cuando solicite configurar tratamiento de iva, entonces el sistema ejecutará la operación descrita, mostrará un resultado observable y conservará la trazabilidad correspondiente.</x:v>
      </x:c>
      <x:c r="F34" s="16" t="str">
        <x:v>Must</x:v>
      </x:c>
      <x:c r="G34" s="16" t="str">
        <x:v>Listo para revisión</x:v>
      </x:c>
      <x:c r="H34" s="16" t="str">
        <x:v>EV-VT-T03-05</x:v>
      </x:c>
    </x:row>
    <x:row r="35">
      <x:c r="A35" s="16" t="str">
        <x:v>PFC-032</x:v>
      </x:c>
      <x:c r="B35" s="16" t="str">
        <x:v>Continuidad</x:v>
      </x:c>
      <x:c r="C35" s="16" t="str">
        <x:v>RF-BCK-01</x:v>
      </x:c>
      <x:c r="D35" s="16" t="str">
        <x:v>Como Superadministrador, quiero generar respaldo para recuperar la operación ante fallos.</x:v>
      </x:c>
      <x:c r="E35" s="16" t="str">
        <x:v>Dado que superadministrador posee autorización y datos válidos, cuando solicite generar respaldo, entonces el sistema ejecutará la operación descrita, mostrará un resultado observable y conservará la trazabilidad correspondiente.</x:v>
      </x:c>
      <x:c r="F35" s="16" t="str">
        <x:v>Should</x:v>
      </x:c>
      <x:c r="G35" s="16" t="str">
        <x:v>Listo para revisión</x:v>
      </x:c>
      <x:c r="H35" s="16" t="str">
        <x:v>EV-VT-T03-10</x:v>
      </x:c>
    </x:row>
    <x:row r="36">
      <x:c r="A36" s="16" t="str">
        <x:v>PFC-033</x:v>
      </x:c>
      <x:c r="B36" s="16" t="str">
        <x:v>Continuidad</x:v>
      </x:c>
      <x:c r="C36" s="16" t="str">
        <x:v>RF-BCK-02</x:v>
      </x:c>
      <x:c r="D36" s="16" t="str">
        <x:v>Como Superadministrador, quiero restaurar respaldo para recuperar la operación ante fallos.</x:v>
      </x:c>
      <x:c r="E36" s="16" t="str">
        <x:v>Dado que superadministrador posee autorización y datos válidos, cuando solicite restaurar respaldo, entonces el sistema ejecutará la operación descrita, mostrará un resultado observable y conservará la trazabilidad correspondiente.</x:v>
      </x:c>
      <x:c r="F36" s="16" t="str">
        <x:v>Should</x:v>
      </x:c>
      <x:c r="G36" s="16" t="str">
        <x:v>Listo para revisión</x:v>
      </x:c>
      <x:c r="H36" s="16" t="str">
        <x:v>EV-VT-T03-10</x:v>
      </x:c>
    </x:row>
    <x:row r="37">
      <x:c r="A37" s="16" t="str">
        <x:v>PFC-034</x:v>
      </x:c>
      <x:c r="B37" s="16" t="str">
        <x:v>Configuración</x:v>
      </x:c>
      <x:c r="C37" s="16" t="str">
        <x:v>RF-CFG-02</x:v>
      </x:c>
      <x:c r="D37" s="16" t="str">
        <x:v>Como Dueño, quiero configurar horario de atención para adaptar reglas sin modificar código.</x:v>
      </x:c>
      <x:c r="E37" s="16" t="str">
        <x:v>Dado que dueño posee autorización y datos válidos, cuando solicite configurar horario de atención, entonces el sistema ejecutará la operación descrita, mostrará un resultado observable y conservará la trazabilidad correspondiente.</x:v>
      </x:c>
      <x:c r="F37" s="16" t="str">
        <x:v>Could</x:v>
      </x:c>
      <x:c r="G37" s="16" t="str">
        <x:v>Listo para revisión</x:v>
      </x:c>
      <x:c r="H37" s="16" t="str">
        <x:v>IND-14; V7</x:v>
      </x:c>
    </x:row>
    <x:row r="38">
      <x:c r="A38" s="16" t="str">
        <x:v>PFC-035</x:v>
      </x:c>
      <x:c r="B38" s="16" t="str">
        <x:v>Inteligencia artificial</x:v>
      </x:c>
      <x:c r="C38" s="16" t="str">
        <x:v>RF-IA-RUT-01</x:v>
      </x:c>
      <x:c r="D38" s="16" t="str">
        <x:v>Como Cliente/Instructor, quiero generar recomendación de rutina para apoyar decisiones sin sustituir al usuario.</x:v>
      </x:c>
      <x:c r="E38" s="16" t="str">
        <x:v>Dado que cliente/instructor posee autorización y datos válidos, cuando solicite generar recomendación de rutina, entonces el sistema ejecutará la operación descrita, mostrará un resultado observable y conservará la trazabilidad correspondiente.</x:v>
      </x:c>
      <x:c r="F38" s="16" t="str">
        <x:v>Must</x:v>
      </x:c>
      <x:c r="G38" s="16" t="str">
        <x:v>Definido para PE5</x:v>
      </x:c>
      <x:c r="H38" s="16" t="str">
        <x:v>EV-VT-T02-05; H03; PE5-OE3</x:v>
      </x:c>
    </x:row>
    <x:row r="39">
      <x:c r="A39" s="16" t="str">
        <x:v>PFC-036</x:v>
      </x:c>
      <x:c r="B39" s="16" t="str">
        <x:v>Inteligencia artificial</x:v>
      </x:c>
      <x:c r="C39" s="16" t="str">
        <x:v>RF-IA-RUT-02</x:v>
      </x:c>
      <x:c r="D39" s="16" t="str">
        <x:v>Como Cliente, quiero aceptar, rechazar o solicitar alternativa para apoyar decisiones sin sustituir al usuario.</x:v>
      </x:c>
      <x:c r="E39" s="16" t="str">
        <x:v>Dado que cliente posee autorización y datos válidos, cuando solicite aceptar, rechazar o solicitar alternativa, entonces el sistema ejecutará la operación descrita, mostrará un resultado observable y conservará la trazabilidad correspondiente.</x:v>
      </x:c>
      <x:c r="F39" s="16" t="str">
        <x:v>Must</x:v>
      </x:c>
      <x:c r="G39" s="16" t="str">
        <x:v>Definido para PE5</x:v>
      </x:c>
      <x:c r="H39" s="16" t="str">
        <x:v>Decisión del equipo; PE5-OE3</x:v>
      </x:c>
    </x:row>
    <x:row r="40">
      <x:c r="A40" s="16" t="str">
        <x:v>PFC-037</x:v>
      </x:c>
      <x:c r="B40" s="16" t="str">
        <x:v>Inteligencia artificial</x:v>
      </x:c>
      <x:c r="C40" s="16" t="str">
        <x:v>RF-IA-RUT-03</x:v>
      </x:c>
      <x:c r="D40" s="16" t="str">
        <x:v>Como Instructor, quiero revisar recomendación de rutina para apoyar decisiones sin sustituir al usuario.</x:v>
      </x:c>
      <x:c r="E40" s="16" t="str">
        <x:v>Dado que instructor posee autorización y datos válidos, cuando solicite revisar recomendación de rutina, entonces el sistema ejecutará la operación descrita, mostrará un resultado observable y conservará la trazabilidad correspondiente.</x:v>
      </x:c>
      <x:c r="F40" s="16" t="str">
        <x:v>Must</x:v>
      </x:c>
      <x:c r="G40" s="16" t="str">
        <x:v>Definido para PE5</x:v>
      </x:c>
      <x:c r="H40" s="16" t="str">
        <x:v>EV-VT-T01-07; EV-VT-T01-08; H02</x:v>
      </x:c>
    </x:row>
    <x:row r="41">
      <x:c r="A41" s="16" t="str">
        <x:v>PFC-038</x:v>
      </x:c>
      <x:c r="B41" s="16" t="str">
        <x:v>Inteligencia artificial</x:v>
      </x:c>
      <x:c r="C41" s="16" t="str">
        <x:v>RF-IA-ABA-01</x:v>
      </x:c>
      <x:c r="D41" s="16" t="str">
        <x:v>Como Dueño, quiero calcular riesgo de inactividad para apoyar decisiones sin sustituir al usuario.</x:v>
      </x:c>
      <x:c r="E41" s="16" t="str">
        <x:v>Dado que dueño posee autorización y datos válidos, cuando solicite calcular riesgo de inactividad, entonces el sistema ejecutará la operación descrita, mostrará un resultado observable y conservará la trazabilidad correspondiente.</x:v>
      </x:c>
      <x:c r="F41" s="16" t="str">
        <x:v>Should</x:v>
      </x:c>
      <x:c r="G41" s="16" t="str">
        <x:v>Definido para PE5</x:v>
      </x:c>
      <x:c r="H41" s="16" t="str">
        <x:v>PE5-OE3; decisión de diseño</x:v>
      </x:c>
    </x:row>
    <x:row r="42">
      <x:c r="A42" s="16" t="str">
        <x:v>PFC-039</x:v>
      </x:c>
      <x:c r="B42" s="16" t="str">
        <x:v>Inteligencia artificial</x:v>
      </x:c>
      <x:c r="C42" s="16" t="str">
        <x:v>RF-IA-ABA-02</x:v>
      </x:c>
      <x:c r="D42" s="16" t="str">
        <x:v>Como Dueño/Recepcionista, quiero mostrar alertas de riesgo para apoyar decisiones sin sustituir al usuario.</x:v>
      </x:c>
      <x:c r="E42" s="16" t="str">
        <x:v>Dado que dueño/recepcionista posee autorización y datos válidos, cuando solicite mostrar alertas de riesgo, entonces el sistema ejecutará la operación descrita, mostrará un resultado observable y conservará la trazabilidad correspondiente.</x:v>
      </x:c>
      <x:c r="F42" s="16" t="str">
        <x:v>Should</x:v>
      </x:c>
      <x:c r="G42" s="16" t="str">
        <x:v>Definido para PE5</x:v>
      </x:c>
      <x:c r="H42" s="16" t="str">
        <x:v>PE5-OE3; decisión de diseño</x:v>
      </x:c>
    </x:row>
    <x:row r="43">
      <x:c r="A43" s="16" t="str">
        <x:v>PFC-040</x:v>
      </x:c>
      <x:c r="B43" s="16" t="str">
        <x:v>Inteligencia artificial</x:v>
      </x:c>
      <x:c r="C43" s="16" t="str">
        <x:v>RF-IA-ABA-03</x:v>
      </x:c>
      <x:c r="D43" s="16" t="str">
        <x:v>Como Recepcionista, quiero registrar seguimiento de alerta para apoyar decisiones sin sustituir al usuario.</x:v>
      </x:c>
      <x:c r="E43" s="16" t="str">
        <x:v>Dado que recepcionista posee autorización y datos válidos, cuando solicite registrar seguimiento de alerta, entonces el sistema ejecutará la operación descrita, mostrará un resultado observable y conservará la trazabilidad correspondiente.</x:v>
      </x:c>
      <x:c r="F43" s="16" t="str">
        <x:v>Should</x:v>
      </x:c>
      <x:c r="G43" s="16" t="str">
        <x:v>Definido para PE5</x:v>
      </x:c>
      <x:c r="H43" s="16" t="str">
        <x:v>PE5-OE3; decisión de diseño</x:v>
      </x:c>
    </x:row>
  </x:sheetData>
  <x:mergeCells>
    <x:mergeCell ref="A1:H1"/>
    <x:mergeCell ref="A2:H2"/>
  </x:mergeCells>
  <x:dataValidations count="1">
    <x:dataValidation type="list" sqref="F4:F43">
      <x:formula1>"Must,Should,Could"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d4fba3342845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20" hidden="0" customWidth="1"/>
    <x:col min="4" max="4" width="72" hidden="0" customWidth="1"/>
  </x:cols>
  <x:sheetData>
    <x:row r="1" ht="30" customHeight="1">
      <x:c r="A1" s="4" t="str">
        <x:v>Registro de 18 hallazgos técnicos</x:v>
      </x:c>
      <x:c r="B1" s="4"/>
      <x:c r="C1" s="4"/>
      <x:c r="D1" s="4"/>
    </x:row>
    <x:row r="3" ht="30" customHeight="1">
      <x:c r="A3" s="13" t="str">
        <x:v>ID</x:v>
      </x:c>
      <x:c r="B3" s="13" t="str">
        <x:v>Hallazgo</x:v>
      </x:c>
      <x:c r="C3" s="13" t="str">
        <x:v>Prioridad</x:v>
      </x:c>
      <x:c r="D3" s="13" t="str">
        <x:v>Tratamiento</x:v>
      </x:c>
    </x:row>
    <x:row r="4">
      <x:c r="A4" s="16" t="str">
        <x:v>H01</x:v>
      </x:c>
      <x:c r="B4" s="16" t="str">
        <x:v>Portal del cliente</x:v>
      </x:c>
      <x:c r="C4" s="16" t="str">
        <x:v>Alta</x:v>
      </x:c>
      <x:c r="D4" s="16" t="str">
        <x:v>Adoptado: RF-MEM-05, RF-PAG-03 y RF-RUT-04</x:v>
      </x:c>
    </x:row>
    <x:row r="5">
      <x:c r="A5" s="16" t="str">
        <x:v>H02</x:v>
      </x:c>
      <x:c r="B5" s="16" t="str">
        <x:v>Rutina personalizada y control humano</x:v>
      </x:c>
      <x:c r="C5" s="16" t="str">
        <x:v>Alta</x:v>
      </x:c>
      <x:c r="D5" s="16" t="str">
        <x:v>Adoptado y trazado en RF-RUT-01/02/04 y RF-IA-RUT-03</x:v>
      </x:c>
    </x:row>
    <x:row r="6">
      <x:c r="A6" s="16" t="str">
        <x:v>H03</x:v>
      </x:c>
      <x:c r="B6" s="16" t="str">
        <x:v>IA como recomendador asistivo</x:v>
      </x:c>
      <x:c r="C6" s="16" t="str">
        <x:v>Alta</x:v>
      </x:c>
      <x:c r="D6" s="16" t="str">
        <x:v>Especificado con control humano y explicación; implementación pendiente</x:v>
      </x:c>
    </x:row>
    <x:row r="7">
      <x:c r="A7" s="16" t="str">
        <x:v>H04</x:v>
      </x:c>
      <x:c r="B7" s="16" t="str">
        <x:v>Claridad semántica de estados</x:v>
      </x:c>
      <x:c r="C7" s="16" t="str">
        <x:v>Alta</x:v>
      </x:c>
      <x:c r="D7" s="16" t="str">
        <x:v>Corregido mediante etiquetas contextuales y BDD</x:v>
      </x:c>
    </x:row>
    <x:row r="8">
      <x:c r="A8" s="16" t="str">
        <x:v>H05</x:v>
      </x:c>
      <x:c r="B8" s="16" t="str">
        <x:v>Navegación y jerarquía visual</x:v>
      </x:c>
      <x:c r="C8" s="16" t="str">
        <x:v>Media-Alta</x:v>
      </x:c>
      <x:c r="D8" s="16" t="str">
        <x:v>Conservar patrones V7 y verificar en walkthrough</x:v>
      </x:c>
    </x:row>
    <x:row r="9">
      <x:c r="A9" s="16" t="str">
        <x:v>H06</x:v>
      </x:c>
      <x:c r="B9" s="16" t="str">
        <x:v>Asistencia QR con contingencia manual</x:v>
      </x:c>
      <x:c r="C9" s="16" t="str">
        <x:v>Alta</x:v>
      </x:c>
      <x:c r="D9" s="16" t="str">
        <x:v>RF-ASI-01 modificado</x:v>
      </x:c>
    </x:row>
    <x:row r="10">
      <x:c r="A10" s="16" t="str">
        <x:v>H07</x:v>
      </x:c>
      <x:c r="B10" s="16" t="str">
        <x:v>Jerarquía de roles</x:v>
      </x:c>
      <x:c r="C10" s="16" t="str">
        <x:v>Alta</x:v>
      </x:c>
      <x:c r="D10" s="16" t="str">
        <x:v>RF-AUT-02 modificado a cinco roles</x:v>
      </x:c>
    </x:row>
    <x:row r="11">
      <x:c r="A11" s="16" t="str">
        <x:v>H08</x:v>
      </x:c>
      <x:c r="B11" s="16" t="str">
        <x:v>Auditoría de operaciones</x:v>
      </x:c>
      <x:c r="C11" s="16" t="str">
        <x:v>Alta</x:v>
      </x:c>
      <x:c r="D11" s="16" t="str">
        <x:v>RF-AUT-03 ampliado</x:v>
      </x:c>
    </x:row>
    <x:row r="12">
      <x:c r="A12" s="16" t="str">
        <x:v>H09</x:v>
      </x:c>
      <x:c r="B12" s="16" t="str">
        <x:v>Categorías y proveedores</x:v>
      </x:c>
      <x:c r="C12" s="16" t="str">
        <x:v>Media-Alta</x:v>
      </x:c>
      <x:c r="D12" s="16" t="str">
        <x:v>RF-INV-04 y RF-INV-05 añadidos</x:v>
      </x:c>
    </x:row>
    <x:row r="13">
      <x:c r="A13" s="16" t="str">
        <x:v>H10</x:v>
      </x:c>
      <x:c r="B13" s="16" t="str">
        <x:v>IVA configurable</x:v>
      </x:c>
      <x:c r="C13" s="16" t="str">
        <x:v>Alta</x:v>
      </x:c>
      <x:c r="D13" s="16" t="str">
        <x:v>RF-CFG-01 y RNF-FLE-01</x:v>
      </x:c>
    </x:row>
    <x:row r="14">
      <x:c r="A14" s="16" t="str">
        <x:v>H11</x:v>
      </x:c>
      <x:c r="B14" s="16" t="str">
        <x:v>Analítica administrativa</x:v>
      </x:c>
      <x:c r="C14" s="16" t="str">
        <x:v>Media</x:v>
      </x:c>
      <x:c r="D14" s="16" t="str">
        <x:v>RF-REP-01 limitado a análisis descriptivo</x:v>
      </x:c>
    </x:row>
    <x:row r="15">
      <x:c r="A15" s="16" t="str">
        <x:v>H12</x:v>
      </x:c>
      <x:c r="B15" s="16" t="str">
        <x:v>Respaldo y recuperación</x:v>
      </x:c>
      <x:c r="C15" s="16" t="str">
        <x:v>Alta</x:v>
      </x:c>
      <x:c r="D15" s="16" t="str">
        <x:v>RF-BCK-01/02 y RNF-FIA-02; backend pendiente</x:v>
      </x:c>
    </x:row>
    <x:row r="16">
      <x:c r="A16" s="16" t="str">
        <x:v>H13</x:v>
      </x:c>
      <x:c r="B16" s="16" t="str">
        <x:v>Contacto mínimo</x:v>
      </x:c>
      <x:c r="C16" s="16" t="str">
        <x:v>Alta</x:v>
      </x:c>
      <x:c r="D16" s="16" t="str">
        <x:v>Teléfono opcional por minimización; discrepancia documentada</x:v>
      </x:c>
    </x:row>
    <x:row r="17">
      <x:c r="A17" s="16" t="str">
        <x:v>H14</x:v>
      </x:c>
      <x:c r="B17" s="16" t="str">
        <x:v>Formularios y validación</x:v>
      </x:c>
      <x:c r="C17" s="16" t="str">
        <x:v>Alta</x:v>
      </x:c>
      <x:c r="D17" s="16" t="str">
        <x:v>Criterios BDD y consistencia de formularios</x:v>
      </x:c>
    </x:row>
    <x:row r="18">
      <x:c r="A18" s="16" t="str">
        <x:v>H15</x:v>
      </x:c>
      <x:c r="B18" s="16" t="str">
        <x:v>Seguridad y transparencia</x:v>
      </x:c>
      <x:c r="C18" s="16" t="str">
        <x:v>Media-Alta</x:v>
      </x:c>
      <x:c r="D18" s="16" t="str">
        <x:v>Conservar transparencia; recuperación definitiva pendiente</x:v>
      </x:c>
    </x:row>
    <x:row r="19">
      <x:c r="A19" s="16" t="str">
        <x:v>H16</x:v>
      </x:c>
      <x:c r="B19" s="16" t="str">
        <x:v>Escalabilidad y mantenibilidad</x:v>
      </x:c>
      <x:c r="C19" s="16" t="str">
        <x:v>Media-Alta</x:v>
      </x:c>
      <x:c r="D19" s="16" t="str">
        <x:v>RNF-MAN-02 y RNF-FLE-01</x:v>
      </x:c>
    </x:row>
    <x:row r="20">
      <x:c r="A20" s="16" t="str">
        <x:v>H17</x:v>
      </x:c>
      <x:c r="B20" s="16" t="str">
        <x:v>Pruebas con usuarios no técnicos</x:v>
      </x:c>
      <x:c r="C20" s="16" t="str">
        <x:v>Crítica</x:v>
      </x:c>
      <x:c r="D20" s="16" t="str">
        <x:v>Pendiente; no se declara ejecutado</x:v>
      </x:c>
    </x:row>
    <x:row r="21">
      <x:c r="A21" s="16" t="str">
        <x:v>H18</x:v>
      </x:c>
      <x:c r="B21" s="16" t="str">
        <x:v>Clientes no tradicionales y pago flexible</x:v>
      </x:c>
      <x:c r="C21" s="16" t="str">
        <x:v>Media</x:v>
      </x:c>
      <x:c r="D21" s="16" t="str">
        <x:v>Conservado como decisión pendiente de negocio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20" hidden="0" customWidth="1"/>
    <x:col min="4" max="4" width="72" hidden="0" customWidth="1"/>
  </x:cols>
  <x:sheetData>
    <x:row r="1" ht="30" customHeight="1">
      <x:c r="A1" s="4" t="str">
        <x:v>Conflictos, riesgos y decisiones</x:v>
      </x:c>
      <x:c r="B1" s="4"/>
      <x:c r="C1" s="4"/>
      <x:c r="D1" s="4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 ht="30" customHeight="1">
      <x:c r="A3" s="13" t="str">
        <x:v>ID</x:v>
      </x:c>
      <x:c r="B3" s="13" t="str">
        <x:v>Conflicto</x:v>
      </x:c>
      <x:c r="C3" s="13" t="str">
        <x:v>Estado</x:v>
      </x:c>
      <x:c r="D3" s="13" t="str">
        <x:v>Resolución/limitación</x:v>
      </x:c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16" t="str">
        <x:v>I-01</x:v>
      </x:c>
      <x:c r="B4" s="16" t="str">
        <x:v>MU-66 vs minimización de datos</x:v>
      </x:c>
      <x:c r="C4" s="16" t="str">
        <x:v>Resuelto</x:v>
      </x:c>
      <x:c r="D4" s="16" t="str">
        <x:v>Se excluyen peso, grasa y masa corporal reales; solo seguimiento operativo no sensible.</x:v>
      </x:c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16" t="str">
        <x:v>I-02</x:v>
      </x:c>
      <x:c r="B5" s="16" t="str">
        <x:v>Rol Cliente futuro vs V7</x:v>
      </x:c>
      <x:c r="C5" s="16" t="str">
        <x:v>Resuelto</x:v>
      </x:c>
      <x:c r="D5" s="16" t="str">
        <x:v>Se incorpora Cliente con funciones de consulta delimitadas.</x:v>
      </x:c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16" t="str">
        <x:v>I-03</x:v>
      </x:c>
      <x:c r="B6" s="16" t="str">
        <x:v>Tres roles vs cinco roles</x:v>
      </x:c>
      <x:c r="C6" s="16" t="str">
        <x:v>Resuelto</x:v>
      </x:c>
      <x:c r="D6" s="16" t="str">
        <x:v>RF-AUT-02 y matriz usan cinco roles.</x:v>
      </x:c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16" t="str">
        <x:v>I-04</x:v>
      </x:c>
      <x:c r="B7" s="16" t="str">
        <x:v>Validación técnica vs validación completa</x:v>
      </x:c>
      <x:c r="C7" s="16" t="str">
        <x:v>Resuelto documentalmente</x:v>
      </x:c>
      <x:c r="D7" s="16" t="str">
        <x:v>Se separa validación técnica de la limitación no técnica; el protocolo no ejecutado no se presenta como evidencia.</x:v>
      </x:c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16" t="str">
        <x:v>I-05</x:v>
      </x:c>
      <x:c r="B8" s="16" t="str">
        <x:v>IA requerida vs no implementada</x:v>
      </x:c>
      <x:c r="C8" s="16" t="str">
        <x:v>Resuelto documentalmente</x:v>
      </x:c>
      <x:c r="D8" s="16" t="str">
        <x:v>La IA queda especificada y trazada como alcance futuro; no se presenta como implementación actual.</x:v>
      </x:c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16" t="str">
        <x:v>I-06</x:v>
      </x:c>
      <x:c r="B9" s="16" t="str">
        <x:v>Teléfono obligatorio vs opcional</x:v>
      </x:c>
      <x:c r="C9" s="16" t="str">
        <x:v>Resuelto</x:v>
      </x:c>
      <x:c r="D9" s="16" t="str">
        <x:v>Se mantiene opcional por minimización y se registra la discrepancia.</x:v>
      </x:c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16" t="str">
        <x:v>I-07</x:v>
      </x:c>
      <x:c r="B10" s="16" t="str">
        <x:v>Prototipo V7 vs MVP terminal</x:v>
      </x:c>
      <x:c r="C10" s="16" t="str">
        <x:v>Resuelto documentalmente</x:v>
      </x:c>
      <x:c r="D10" s="16" t="str">
        <x:v>V7 se etiqueta como prototipo HTML/JS; backend e IA permanecen como arquitectura objetivo.</x:v>
      </x:c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16" t="str">
        <x:v>I-08</x:v>
      </x:c>
      <x:c r="B11" s="16" t="str">
        <x:v>Correlación vs análisis descriptivo</x:v>
      </x:c>
      <x:c r="C11" s="16" t="str">
        <x:v>Resuelto</x:v>
      </x:c>
      <x:c r="D11" s="16" t="str">
        <x:v>RF-REP-01 usa indicadores descriptivos reproducibles.</x:v>
      </x:c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70" hidden="0" customWidth="1"/>
  </x:cols>
  <x:sheetData>
    <x:row r="1" ht="30" customHeight="1">
      <x:c r="A1" s="4" t="str">
        <x:v>Muestra de análisis de impacto</x:v>
      </x:c>
      <x:c r="B1" s="4"/>
      <x:c r="C1" s="4"/>
    </x:row>
    <x:row r="3" ht="30" customHeight="1">
      <x:c r="A3" s="13" t="str">
        <x:v>Requisito</x:v>
      </x:c>
      <x:c r="B3" s="13" t="str">
        <x:v>Afectados después</x:v>
      </x:c>
      <x:c r="C3" s="13" t="str">
        <x:v>Artefactos principales</x:v>
      </x:c>
    </x:row>
    <x:row r="4">
      <x:c r="A4" s="16" t="str">
        <x:v>RF-AUT-02</x:v>
      </x:c>
      <x:c r="B4" s="16" t="n">
        <x:v>3</x:v>
      </x:c>
      <x:c r="C4" s="16" t="str">
        <x:v>Modelo de actores, matriz de permisos y pruebas negativas</x:v>
      </x:c>
    </x:row>
    <x:row r="5">
      <x:c r="A5" s="16" t="str">
        <x:v>RF-ASI-01</x:v>
      </x:c>
      <x:c r="B5" s="16" t="n">
        <x:v>2</x:v>
      </x:c>
      <x:c r="C5" s="16" t="str">
        <x:v>Caso de uso y prueba QR/manual</x:v>
      </x:c>
    </x:row>
    <x:row r="6">
      <x:c r="A6" s="16" t="str">
        <x:v>RF-RUT-04</x:v>
      </x:c>
      <x:c r="B6" s="16" t="n">
        <x:v>3</x:v>
      </x:c>
      <x:c r="C6" s="16" t="str">
        <x:v>Portal cliente, rutina e historial</x:v>
      </x:c>
    </x:row>
    <x:row r="7">
      <x:c r="A7" s="16" t="str">
        <x:v>RF-CFG-01</x:v>
      </x:c>
      <x:c r="B7" s="16" t="n">
        <x:v>2</x:v>
      </x:c>
      <x:c r="C7" s="16" t="str">
        <x:v>Configuración e inventario/venta</x:v>
      </x:c>
    </x:row>
    <x:row r="8">
      <x:c r="A8" s="16" t="str">
        <x:v>RF-IA-RUT-01</x:v>
      </x:c>
      <x:c r="B8" s="16" t="n">
        <x:v>2</x:v>
      </x:c>
      <x:c r="C8" s="16" t="str">
        <x:v>Componente IA y revisión humana</x:v>
      </x:c>
    </x:row>
  </x:sheetData>
  <x:mergeCells>
    <x:mergeCell ref="A1:C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30" hidden="0" customWidth="1"/>
  </x:cols>
  <x:sheetData>
    <x:row r="1" ht="18" hidden="0" customHeight="1">
      <x:c r="A1" s="4" t="str">
        <x:v>Retrospectiva Start-Stop-Continue</x:v>
      </x:c>
      <x:c r="B1" s="4"/>
      <x:c r="C1" s="4"/>
    </x:row>
    <x:row r="2" ht="15" hidden="0" customHeight="1">
      <x:c r="A2" s="81"/>
      <x:c r="B2" s="81"/>
      <x:c r="C2" s="81"/>
    </x:row>
    <x:row r="3" ht="15" hidden="0" customHeight="1">
      <x:c r="A3" s="13" t="str">
        <x:v>Categoría</x:v>
      </x:c>
      <x:c r="B3" s="13" t="str">
        <x:v>Elemento</x:v>
      </x:c>
      <x:c r="C3" s="13" t="str">
        <x:v>Responsable/acción</x:v>
      </x:c>
    </x:row>
    <x:row r="4" ht="15" hidden="0" customHeight="1">
      <x:c r="A4" s="16" t="str">
        <x:v>Start</x:v>
      </x:c>
      <x:c r="B4" s="16" t="str">
        <x:v>Vincular cada cambio a un identificador desde su descubrimiento</x:v>
      </x:c>
      <x:c r="C4" s="16" t="str">
        <x:v>Alvia Villegas Erick Adalberto</x:v>
      </x:c>
    </x:row>
    <x:row r="5" ht="15" hidden="0" customHeight="1">
      <x:c r="A5" s="16" t="str">
        <x:v>Start</x:v>
      </x:c>
      <x:c r="B5" s="16" t="str">
        <x:v>Ejecutar walkthroughs no técnicos antes de cerrar la línea base</x:v>
      </x:c>
      <x:c r="C5" s="16" t="str">
        <x:v>Ponce Rivera Mery Helenmey</x:v>
      </x:c>
    </x:row>
    <x:row r="6" ht="15" hidden="0" customHeight="1">
      <x:c r="A6" s="16" t="str">
        <x:v>Start</x:v>
      </x:c>
      <x:c r="B6" s="16" t="str">
        <x:v>Mantener criterios BDD y casos de prueba en la misma iteración</x:v>
      </x:c>
      <x:c r="C6" s="16" t="str">
        <x:v>Mera Arias Erick Jhair</x:v>
      </x:c>
    </x:row>
    <x:row r="7" ht="15" hidden="0" customHeight="1">
      <x:c r="A7" s="16" t="str">
        <x:v>Stop</x:v>
      </x:c>
      <x:c r="B7" s="16" t="str">
        <x:v>Incorporar pantallas sin actualizar alcance y trazabilidad</x:v>
      </x:c>
      <x:c r="C7" s="16" t="str">
        <x:v>Mora Duarte Alex José</x:v>
      </x:c>
    </x:row>
    <x:row r="8" ht="15" hidden="0" customHeight="1">
      <x:c r="A8" s="16" t="str">
        <x:v>Stop</x:v>
      </x:c>
      <x:c r="B8" s="16" t="str">
        <x:v>Usar etiquetas genéricas como estado o vigencia</x:v>
      </x:c>
      <x:c r="C8" s="16" t="str">
        <x:v>Vaca Romero David Octavio</x:v>
      </x:c>
    </x:row>
    <x:row r="9" ht="15" hidden="0" customHeight="1">
      <x:c r="A9" s="16" t="str">
        <x:v>Stop</x:v>
      </x:c>
      <x:c r="B9" s="16" t="str">
        <x:v>Confundir prototipo simulado con implementación terminal</x:v>
      </x:c>
      <x:c r="C9" s="16" t="str">
        <x:v>Alvia Villegas Erick Adalberto</x:v>
      </x:c>
    </x:row>
    <x:row r="10" ht="15" hidden="0" customHeight="1">
      <x:c r="A10" s="16" t="str">
        <x:v>Continue</x:v>
      </x:c>
      <x:c r="B10" s="16" t="str">
        <x:v>Anonimizar evidencias y aplicar minimización de datos</x:v>
      </x:c>
      <x:c r="C10" s="16" t="str">
        <x:v>Ponce Rivera Mery Helenmey</x:v>
      </x:c>
    </x:row>
    <x:row r="11" ht="15" hidden="0" customHeight="1">
      <x:c r="A11" s="16" t="str">
        <x:v>Continue</x:v>
      </x:c>
      <x:c r="B11" s="16" t="str">
        <x:v>Contrastar RF, mockups y modelos antes de publicar</x:v>
      </x:c>
      <x:c r="C11" s="16" t="str">
        <x:v>Mora Duarte Alex José</x:v>
      </x:c>
    </x:row>
    <x:row r="12" ht="15" hidden="0" customHeight="1">
      <x:c r="A12" s="16" t="str">
        <x:v>Continue</x:v>
      </x:c>
      <x:c r="B12" s="16" t="str">
        <x:v>Registrar hallazgos, decisiones y limitaciones verificables</x:v>
      </x:c>
      <x:c r="C12" s="16" t="str">
        <x:v>Mera Arias Erick Jhair</x:v>
      </x:c>
    </x:row>
  </x:sheetData>
  <x:mergeCells>
    <x:mergeCell ref="A1:C1"/>
  </x:mergeCells>
  <x:conditionalFormatting sqref="A4:A12">
    <x:cfRule type="containsText" dxfId="6" priority="1" operator="containsText" text="Start"/>
    <x:cfRule type="containsText" dxfId="7" priority="2" operator="containsText" text="Stop"/>
    <x:cfRule type="containsText" dxfId="8" priority="3" operator="containsText" text="Continue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0" hidden="0" customWidth="1"/>
    <x:col min="4" max="4" width="30" hidden="0" customWidth="1"/>
  </x:cols>
  <x:sheetData>
    <x:row r="1" ht="16.799999237060547" hidden="0" customHeight="1">
      <x:c r="A1" s="92" t="str">
        <x:v>Declaración y distribución de aportes - actividad PE5</x:v>
      </x:c>
      <x:c r="B1" s="92"/>
      <x:c r="C1" s="92"/>
      <x:c r="D1" s="92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 ht="15" hidden="0" customHeight="1">
      <x:c r="A2" s="7" t="str">
        <x:v>La PE5 corresponde al PFC FabroGym del Equipo F. La evidencia individual debe coincidir con los commits reales del repositorio de la actividad.</x:v>
      </x:c>
      <x:c r="B2" s="7"/>
      <x:c r="C2" s="7"/>
      <x:c r="D2" s="7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 ht="15" hidden="0" customHeight="1">
      <x:c r="A3" s="84" t="str">
        <x:v>Integrante</x:v>
      </x:c>
      <x:c r="B3" s="84" t="str">
        <x:v>Aporte asignado</x:v>
      </x:c>
      <x:c r="C3" s="84" t="str">
        <x:v>Evidencia preparada</x:v>
      </x:c>
      <x:c r="D3" s="84" t="str">
        <x:v>Verificación</x:v>
      </x:c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 ht="48" hidden="0" customHeight="1">
      <x:c r="A4" s="16" t="str">
        <x:v>Alvia Villegas Erick Adalberto</x:v>
      </x:c>
      <x:c r="B4" s="16" t="str">
        <x:v>Integración metodológica, control de alcance y consolidación del informe</x:v>
      </x:c>
      <x:c r="C4" s="16" t="str">
        <x:v>01_Informe_Final; 05_Gestion/Backlog_Propuesto.md</x:v>
      </x:c>
      <x:c r="D4" s="16" t="str">
        <x:v>Historial Git: commits, archivos y fechas</x:v>
      </x:c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 ht="48" hidden="0" customHeight="1">
      <x:c r="A5" s="16" t="str">
        <x:v>Mera Arias Erick Jhair</x:v>
      </x:c>
      <x:c r="B5" s="16" t="str">
        <x:v>Auditoría de métricas, trazabilidad end-to-end y control de cobertura</x:v>
      </x:c>
      <x:c r="C5" s="16" t="str">
        <x:v>03_Matriz_Trazabilidad; 04_Auditoria_Metricas; _generados/metricas.tex; _generados/trazabilidad.tex</x:v>
      </x:c>
      <x:c r="D5" s="16" t="str">
        <x:v>Historial Git: commits, archivos y fechas</x:v>
      </x:c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 ht="48" hidden="0" customHeight="1">
      <x:c r="A6" s="16" t="str">
        <x:v>Mora Duarte Alex José</x:v>
      </x:c>
      <x:c r="B6" s="16" t="str">
        <x:v>Modelos UML, casos de uso y consistencia entre modelos y ERS</x:v>
      </x:c>
      <x:c r="C6" s="16" t="str">
        <x:v>diagramas_fuente; assets/casos_uso_v2_*.pdf; _generados/casos_uso.tex</x:v>
      </x:c>
      <x:c r="D6" s="16" t="str">
        <x:v>Historial Git: commits, archivos y fechas</x:v>
      </x:c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 ht="48" hidden="0" customHeight="1">
      <x:c r="A7" s="81" t="str">
        <x:v>Ponce Rivera Mery Helenmey</x:v>
      </x:c>
      <x:c r="B7" s="81" t="str">
        <x:v>Validación, consolidación de hallazgos y re-inspección del ERS</x:v>
      </x:c>
      <x:c r="C7" s="81" t="str">
        <x:v>05_Gestion/Validacion; _generados/validacion.tex</x:v>
      </x:c>
      <x:c r="D7" s="81" t="str">
        <x:v>Historial Git: commits, archivos y fechas</x:v>
      </x:c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 ht="48" hidden="0" customHeight="1">
      <x:c r="A8" s="81" t="str">
        <x:v>Vaca Romero David Octavio</x:v>
      </x:c>
      <x:c r="B8" s="81" t="str">
        <x:v>Gestión documental, backlog, retrospectiva y reproducibilidad</x:v>
      </x:c>
      <x:c r="C8" s="81" t="str">
        <x:v>README.md; 05_Gestion; CHANGELOG.md</x:v>
      </x:c>
      <x:c r="D8" s="81" t="str">
        <x:v>Historial Git: commits, archivos y fechas</x:v>
      </x:c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2" hidden="0" customWidth="1"/>
    <x:col min="4" max="4" width="42" hidden="0" customWidth="1"/>
  </x:cols>
  <x:sheetData>
    <x:row r="1">
      <x:c r="A1" s="92" t="str">
        <x:v>Control de huérfanos y cadenas rotas</x:v>
      </x:c>
      <x:c r="B1" s="92"/>
      <x:c r="C1" s="92"/>
      <x:c r="D1" s="92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</x:row>
    <x:row r="2">
      <x:c r="A2" s="81" t="str">
        <x:v>Cierre documental de trazabilidad end-to-end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8" t="str">
        <x:v>Patología</x:v>
      </x:c>
      <x:c r="B3" s="88" t="str">
        <x:v>Cantidad final</x:v>
      </x:c>
      <x:c r="C3" s="88" t="str">
        <x:v>Criterio</x:v>
      </x:c>
      <x:c r="D3" s="88" t="str">
        <x:v>Acción al cierre</x:v>
      </x:c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RF sin fuente</x:v>
      </x:c>
      <x:c r="B4" s="81" t="n">
        <x:v>0</x:v>
      </x:c>
      <x:c r="C4" s="81" t="str">
        <x:v>Cada RF conserva fuente o decisión explícita.</x:v>
      </x:c>
      <x:c r="D4" s="81" t="str">
        <x:v>No aplica; cobertura 40/40.</x:v>
      </x:c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RF sin realización posterior</x:v>
      </x:c>
      <x:c r="B5" s="81" t="n">
        <x:v>0</x:v>
      </x:c>
      <x:c r="C5" s="81" t="str">
        <x:v>Cada RF enlaza CU, clase, proceso/estado, BDD y CP.</x:v>
      </x:c>
      <x:c r="D5" s="81" t="str">
        <x:v>No aplica; M4 adelante 40/40.</x:v>
      </x:c>
      <x:c r="E5" s="81"/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CU huérfanos</x:v>
      </x:c>
      <x:c r="B6" s="81" t="n">
        <x:v>0</x:v>
      </x:c>
      <x:c r="C6" s="81" t="str">
        <x:v>CU-01 a CU-40 enlazan un RF.</x:v>
      </x:c>
      <x:c r="D6" s="81" t="str">
        <x:v>No aplica; 40/40 sincronizados.</x:v>
      </x:c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Cadenas rotas</x:v>
      </x:c>
      <x:c r="B7" s="81" t="n">
        <x:v>0</x:v>
      </x:c>
      <x:c r="C7" s="81" t="str">
        <x:v>Estado de traza sin 'rota' ni 'huérfana'.</x:v>
      </x:c>
      <x:c r="D7" s="81" t="str">
        <x:v>Cadenas anteriores enlazadas o delimitadas.</x:v>
      </x:c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45" hidden="0" customWidth="1"/>
  </x:cols>
  <x:sheetData>
    <x:row r="1">
      <x:c r="A1" s="103" t="str">
        <x:v>REINSPECCIÓN DOCUMENTAL M6 - PE5 FABROGYM v2.0.3</x:v>
      </x:c>
      <x:c r="B1" s="103"/>
      <x:c r="C1" s="103"/>
    </x:row>
    <x:row r="2">
      <x:c r="A2" s="81" t="str">
        <x:v>Control reproducible de cierre documental; no equivale a prueba funcional, IA, restauración ni walkthrough.</x:v>
      </x:c>
      <x:c r="B2" s="81"/>
      <x:c r="C2" s="81"/>
    </x:row>
    <x:row r="3">
      <x:c r="A3" s="104" t="str">
        <x:v>Campo</x:v>
      </x:c>
      <x:c r="B3" s="104" t="str">
        <x:v>Valor</x:v>
      </x:c>
      <x:c r="C3" s="104" t="str">
        <x:v>Evidencia / regla</x:v>
      </x:c>
    </x:row>
    <x:row r="4">
      <x:c r="A4" s="81" t="str">
        <x:v>Fecha de control</x:v>
      </x:c>
      <x:c r="B4" s="81" t="str">
        <x:v>2026-08-20</x:v>
      </x:c>
      <x:c r="C4" s="81" t="str">
        <x:v>Registro_Reinspeccion_M6.md</x:v>
      </x:c>
    </x:row>
    <x:row r="5">
      <x:c r="A5" s="81" t="str">
        <x:v>Línea base funcional</x:v>
      </x:c>
      <x:c r="B5" s="81" t="str">
        <x:v>v2.0</x:v>
      </x:c>
      <x:c r="C5" s="81" t="str">
        <x:v>Catálogos finales</x:v>
      </x:c>
    </x:row>
    <x:row r="6">
      <x:c r="A6" s="81" t="str">
        <x:v>Versión documental</x:v>
      </x:c>
      <x:c r="B6" s="81" t="str">
        <x:v>v2.0.3</x:v>
      </x:c>
      <x:c r="C6" s="81" t="str">
        <x:v>ERS_FabroGym_v2.0.3.tex</x:v>
      </x:c>
    </x:row>
    <x:row r="7">
      <x:c r="A7" s="81" t="str">
        <x:v>RF inspeccionados</x:v>
      </x:c>
      <x:c r="B7" s="81" t="n">
        <x:v>40</x:v>
      </x:c>
      <x:c r="C7" s="81" t="str">
        <x:v>_generados/catalogo_rf.tex</x:v>
      </x:c>
    </x:row>
    <x:row r="8">
      <x:c r="A8" s="81" t="str">
        <x:v>RNF inspeccionados</x:v>
      </x:c>
      <x:c r="B8" s="81" t="n">
        <x:v>27</x:v>
      </x:c>
      <x:c r="C8" s="81" t="str">
        <x:v>_generados/catalogo_rnf.tex</x:v>
      </x:c>
    </x:row>
    <x:row r="9">
      <x:c r="A9" s="81" t="str">
        <x:v>Total requisitos</x:v>
      </x:c>
      <x:c r="B9" s="81" t="n">
        <x:v>67</x:v>
      </x:c>
      <x:c r="C9" s="81" t="str">
        <x:v>40 + 27</x:v>
      </x:c>
    </x:row>
    <x:row r="10">
      <x:c r="A10" s="81" t="str">
        <x:v>RF con BDD</x:v>
      </x:c>
      <x:c r="B10" s="81" t="str">
        <x:v>40/40</x:v>
      </x:c>
      <x:c r="C10" s="81" t="str">
        <x:v>Conteo reproducible</x:v>
      </x:c>
    </x:row>
    <x:row r="11">
      <x:c r="A11" s="81" t="str">
        <x:v>RNF con BDD</x:v>
      </x:c>
      <x:c r="B11" s="81" t="str">
        <x:v>27/27</x:v>
      </x:c>
      <x:c r="C11" s="81" t="str">
        <x:v>Conteo reproducible</x:v>
      </x:c>
    </x:row>
    <x:row r="12">
      <x:c r="A12" s="81" t="str">
        <x:v>Defectos editoriales registrados antes</x:v>
      </x:c>
      <x:c r="B12" s="81" t="n">
        <x:v>21</x:v>
      </x:c>
      <x:c r="C12" s="81" t="str">
        <x:v>Registro de saneamiento PE5</x:v>
      </x:c>
    </x:row>
    <x:row r="13">
      <x:c r="A13" s="81" t="str">
        <x:v>Defectos residuales después</x:v>
      </x:c>
      <x:c r="B13" s="81" t="n">
        <x:v>0</x:v>
      </x:c>
      <x:c r="C13" s="81" t="str">
        <x:v>resultado_reinspeccion_m6.txt</x:v>
      </x:c>
    </x:row>
    <x:row r="14">
      <x:c r="A14" s="81" t="str">
        <x:v>M6 final</x:v>
      </x:c>
      <x:c r="B14" s="81" t="n">
        <x:v>0</x:v>
      </x:c>
      <x:c r="C14" s="81" t="str">
        <x:v>0 / 67 = 0,000 &lt;= 0,05</x:v>
      </x:c>
    </x:row>
    <x:row r="15">
      <x:c r="A15" s="81" t="str">
        <x:v>Script reproducible</x:v>
      </x:c>
      <x:c r="B15" s="81" t="str">
        <x:v>04_Auditoria_Metricas/reinspeccion_m6.py</x:v>
      </x:c>
      <x:c r="C15" s="81" t="str">
        <x:v>Ejecutar desde la raíz con python3</x:v>
      </x:c>
    </x:row>
    <x:row r="16">
      <x:c r="A16" s="81" t="str">
        <x:v>ERS SHA-256</x:v>
      </x:c>
      <x:c r="B16" s="81" t="str">
        <x:v>041602c0579340a07fc778abe7981924a87be9fd81988508e2c393b9f9d387e5</x:v>
      </x:c>
      <x:c r="C16" s="81" t="str">
        <x:v>resultado_reinspeccion_m6.txt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32" hidden="0" customWidth="1"/>
    <x:col min="4" max="4" width="32" hidden="0" customWidth="1"/>
    <x:col min="5" max="5" width="14" hidden="0" customWidth="1"/>
  </x:cols>
  <x:sheetData>
    <x:row r="1">
      <x:c r="A1" s="103" t="str">
        <x:v>COBERTURA DE MODELOS - PE5 v2.0.3</x:v>
      </x:c>
      <x:c r="B1" s="103"/>
      <x:c r="C1" s="103"/>
      <x:c r="D1" s="103"/>
      <x:c r="E1" s="103"/>
    </x:row>
    <x:row r="2">
      <x:c r="A2" s="104" t="str">
        <x:v>Tipo</x:v>
      </x:c>
      <x:c r="B2" s="104" t="str">
        <x:v>Artefacto</x:v>
      </x:c>
      <x:c r="C2" s="104" t="str">
        <x:v>Cobertura</x:v>
      </x:c>
      <x:c r="D2" s="104" t="str">
        <x:v>Relación con trazabilidad</x:v>
      </x:c>
      <x:c r="E2" s="104" t="str">
        <x:v>Estado</x:v>
      </x:c>
    </x:row>
    <x:row r="3">
      <x:c r="A3" s="81" t="str">
        <x:v>Casos de uso</x:v>
      </x:c>
      <x:c r="B3" s="81" t="str">
        <x:v>assets/casos_uso_v2_1.pdf ... v2_4_ia.pdf</x:v>
      </x:c>
      <x:c r="C3" s="81" t="str">
        <x:v>CU-01 a CU-40</x:v>
      </x:c>
      <x:c r="D3" s="81" t="str">
        <x:v>RF -&gt; CU</x:v>
      </x:c>
      <x:c r="E3" s="81" t="str">
        <x:v>Integrado</x:v>
      </x:c>
    </x:row>
    <x:row r="4">
      <x:c r="A4" s="81" t="str">
        <x:v>Clases UML</x:v>
      </x:c>
      <x:c r="B4" s="81" t="str">
        <x:v>assets/clases.png</x:v>
      </x:c>
      <x:c r="C4" s="81" t="str">
        <x:v>Dominio FabroGym</x:v>
      </x:c>
      <x:c r="D4" s="81" t="str">
        <x:v>CU -&gt; Clase</x:v>
      </x:c>
      <x:c r="E4" s="81" t="str">
        <x:v>Integrado</x:v>
      </x:c>
    </x:row>
    <x:row r="5">
      <x:c r="A5" s="81" t="str">
        <x:v>DFD Nivel 0</x:v>
      </x:c>
      <x:c r="B5" s="81" t="str">
        <x:v>assets/DFD_N0_FabroGym.pdf</x:v>
      </x:c>
      <x:c r="C5" s="81" t="str">
        <x:v>Frontera y actores</x:v>
      </x:c>
      <x:c r="D5" s="81" t="str">
        <x:v>Fuente/actor -&gt; sistema</x:v>
      </x:c>
      <x:c r="E5" s="81" t="str">
        <x:v>Integrado</x:v>
      </x:c>
    </x:row>
    <x:row r="6">
      <x:c r="A6" s="81" t="str">
        <x:v>DFD Nivel 1</x:v>
      </x:c>
      <x:c r="B6" s="81" t="str">
        <x:v>assets/DFD_N1_FabroGym.pdf</x:v>
      </x:c>
      <x:c r="C6" s="81" t="str">
        <x:v>P-01 a P-15</x:v>
      </x:c>
      <x:c r="D6" s="81" t="str">
        <x:v>Clase -&gt; Proceso DFD</x:v>
      </x:c>
      <x:c r="E6" s="81" t="str">
        <x:v>Integrado</x:v>
      </x:c>
    </x:row>
    <x:row r="7">
      <x:c r="A7" s="81" t="str">
        <x:v>Estados</x:v>
      </x:c>
      <x:c r="B7" s="81" t="str">
        <x:v>assets/DE_01...DE_04...pdf</x:v>
      </x:c>
      <x:c r="C7" s="81" t="str">
        <x:v>Membresía, Pago, Novedad, Rutina</x:v>
      </x:c>
      <x:c r="D7" s="81" t="str">
        <x:v>Proceso -&gt; Estado</x:v>
      </x:c>
      <x:c r="E7" s="81" t="str">
        <x:v>Integrado</x:v>
      </x:c>
    </x:row>
    <x:row r="8">
      <x:c r="A8" s="81" t="str">
        <x:v>Secuencia</x:v>
      </x:c>
      <x:c r="B8" s="81" t="str">
        <x:v>assets/DS_01, DS_10, DS_15...pdf</x:v>
      </x:c>
      <x:c r="C8" s="81" t="str">
        <x:v>Autenticación, Pago, Venta</x:v>
      </x:c>
      <x:c r="D8" s="81" t="str">
        <x:v>RF/BDD -&gt; interacción</x:v>
      </x:c>
      <x:c r="E8" s="81" t="str">
        <x:v>Integrado</x:v>
      </x:c>
    </x:row>
    <x:row r="9">
      <x:c r="A9" s="81" t="str">
        <x:v>Actividad</x:v>
      </x:c>
      <x:c r="B9" s="81" t="str">
        <x:v>assets/actividad_rutina.png</x:v>
      </x:c>
      <x:c r="C9" s="81" t="str">
        <x:v>Rutina y seguimiento</x:v>
      </x:c>
      <x:c r="D9" s="81" t="str">
        <x:v>CU/RF -&gt; flujo</x:v>
      </x:c>
      <x:c r="E9" s="81" t="str">
        <x:v>Integrado</x:v>
      </x:c>
    </x:row>
    <x:row r="10">
      <x:c r="A10" s="81" t="str">
        <x:v>Componentes</x:v>
      </x:c>
      <x:c r="B10" s="81" t="str">
        <x:v>assets/componentes.png</x:v>
      </x:c>
      <x:c r="C10" s="81" t="str">
        <x:v>Arquitectura lógica</x:v>
      </x:c>
      <x:c r="D10" s="81" t="str">
        <x:v>Requisitos -&gt; componentes</x:v>
      </x:c>
      <x:c r="E10" s="81" t="str">
        <x:v>Integrado</x:v>
      </x:c>
    </x:row>
    <x:row r="11">
      <x:c r="A11" s="81" t="str">
        <x:v>Despliegue</x:v>
      </x:c>
      <x:c r="B11" s="81" t="str">
        <x:v>assets/despliegue_v2_propuesto.pdf</x:v>
      </x:c>
      <x:c r="C11" s="81" t="str">
        <x:v>Prototipo vs objetivo</x:v>
      </x:c>
      <x:c r="D11" s="81" t="str">
        <x:v>RNF/diseño</x:v>
      </x:c>
      <x:c r="E11" s="81" t="str">
        <x:v>Integrado</x:v>
      </x:c>
    </x:row>
  </x:sheetData>
  <x:mergeCells>
    <x:mergeCell ref="A1:E1"/>
  </x:mergeCells>
  <x:pageMargins left="0.7" right="0.7" top="0.75" bottom="0.75" header="0.3" footer="0.3"/>
</x:worksheet>
</file>